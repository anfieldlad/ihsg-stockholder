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Skenario_Cold_Start" sheetId="3" state="visible" r:id="rId3"/>
    <sheet xmlns:r="http://schemas.openxmlformats.org/officeDocument/2006/relationships" name="Skenario_Konservatif" sheetId="4" state="visible" r:id="rId4"/>
    <sheet xmlns:r="http://schemas.openxmlformats.org/officeDocument/2006/relationships" name="Skenario_Moderat_Base" sheetId="5" state="visible" r:id="rId5"/>
    <sheet xmlns:r="http://schemas.openxmlformats.org/officeDocument/2006/relationships" name="Skenario_Optimis" sheetId="6" state="visible" r:id="rId6"/>
    <sheet xmlns:r="http://schemas.openxmlformats.org/officeDocument/2006/relationships" name="OneTime_vs_Recurring" sheetId="7" state="visible" r:id="rId7"/>
    <sheet xmlns:r="http://schemas.openxmlformats.org/officeDocument/2006/relationships" name="Comp_Accounts_ROI" sheetId="8" state="visible" r:id="rId8"/>
    <sheet xmlns:r="http://schemas.openxmlformats.org/officeDocument/2006/relationships" name="Perbandingan_Skena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595959"/>
      <sz val="9"/>
    </font>
    <font>
      <name val="Calibri"/>
      <b val="1"/>
      <color rgb="001F4E78"/>
      <sz val="10"/>
    </font>
    <font>
      <name val="Calibri"/>
      <b val="1"/>
      <sz val="9"/>
    </font>
    <font>
      <name val="Calibri"/>
      <b val="1"/>
      <color rgb="00FFFFFF"/>
      <sz val="9"/>
    </font>
    <font>
      <name val="Calibri"/>
      <sz val="9"/>
    </font>
    <font>
      <name val="Calibri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3" fontId="4" fillId="0" borderId="1" pivotButton="0" quotePrefix="0" xfId="0"/>
    <xf numFmtId="164" fontId="6" fillId="0" borderId="1" pivotButton="0" quotePrefix="0" xfId="0"/>
    <xf numFmtId="0" fontId="7" fillId="0" borderId="1" pivotButton="0" quotePrefix="0" xfId="0"/>
    <xf numFmtId="3" fontId="6" fillId="0" borderId="1" pivotButton="0" quotePrefix="0" xfId="0"/>
    <xf numFmtId="0" fontId="4" fillId="4" borderId="1" pivotButton="0" quotePrefix="0" xfId="0"/>
    <xf numFmtId="0" fontId="7" fillId="4" borderId="1" pivotButton="0" quotePrefix="0" xfId="0"/>
    <xf numFmtId="3" fontId="4" fillId="4" borderId="1" pivotButton="0" quotePrefix="0" xfId="0"/>
    <xf numFmtId="0" fontId="6" fillId="4" borderId="1" pivotButton="0" quotePrefix="0" xfId="0"/>
    <xf numFmtId="0" fontId="4" fillId="5" borderId="1" pivotButton="0" quotePrefix="0" xfId="0"/>
    <xf numFmtId="0" fontId="6" fillId="5" borderId="1" pivotButton="0" quotePrefix="0" xfId="0"/>
    <xf numFmtId="0" fontId="4" fillId="0" borderId="0" pivotButton="0" quotePrefix="0" xfId="0"/>
    <xf numFmtId="0" fontId="4" fillId="6" borderId="0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3" fontId="0" fillId="0" borderId="1" pivotButton="0" quotePrefix="0" xfId="0"/>
    <xf numFmtId="164" fontId="0" fillId="0" borderId="1" pivotButton="0" quotePrefix="0" xfId="0"/>
    <xf numFmtId="0" fontId="4" fillId="6" borderId="1" pivotButton="0" quotePrefix="0" xfId="0"/>
    <xf numFmtId="3" fontId="4" fillId="6" borderId="1" pivotButton="0" quotePrefix="0" xfId="0"/>
    <xf numFmtId="3" fontId="0" fillId="6" borderId="1" pivotButton="0" quotePrefix="0" xfId="0"/>
    <xf numFmtId="3" fontId="4" fillId="5" borderId="1" pivotButton="0" quotePrefix="0" xfId="0"/>
    <xf numFmtId="3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45" customWidth="1" min="7" max="7"/>
  </cols>
  <sheetData>
    <row r="1">
      <c r="A1" s="1" t="inlineStr">
        <is>
          <t>IHSG STORM (ihsg.badai.tech) — FREEMIUM FINANCIAL MODEL &amp; UNIT ECONOMICS V3.1 (ONE-TIME PASS)</t>
        </is>
      </c>
    </row>
    <row r="2">
      <c r="A2" s="2" t="inlineStr">
        <is>
          <t>Model Sekali Bayar (One-Time Pass), Jalur Upgrade, Akun Pemasaran (Comp), Treadmill Akuisisi &amp; Rekonsiliasi Kas (Revisi v3.1: Drop Supabase Pro &amp; Konfirmasi Jim D8) | Oscar</t>
        </is>
      </c>
    </row>
    <row r="4" ht="20" customHeight="1">
      <c r="A4" s="3" t="inlineStr">
        <is>
          <t>1. KEPUTUSAN FINAL &amp; STRUKTUR HARGA ONE-TIME PASS V3 (KEPUTUSAN BOBBY &amp; REKOMENDASI OSCAR/JIM) [S]</t>
        </is>
      </c>
      <c r="B4" s="29" t="n"/>
      <c r="C4" s="29" t="n"/>
      <c r="D4" s="29" t="n"/>
      <c r="E4" s="29" t="n"/>
      <c r="F4" s="29" t="n"/>
      <c r="G4" s="30" t="n"/>
    </row>
    <row r="5" ht="25" customHeight="1">
      <c r="A5" s="5" t="inlineStr">
        <is>
          <t>Nama Paket / Pass</t>
        </is>
      </c>
      <c r="B5" s="5" t="inlineStr">
        <is>
          <t>Segmen Sasaran</t>
        </is>
      </c>
      <c r="C5" s="5" t="inlineStr">
        <is>
          <t>Pass 1-Bulan (30 Hari) [S]</t>
        </is>
      </c>
      <c r="D5" s="5" t="inlineStr">
        <is>
          <t>Pass 12-Bulan (365 Hari) [S]</t>
        </is>
      </c>
      <c r="E5" s="5" t="inlineStr">
        <is>
          <t>Diskon 12M [S]</t>
        </is>
      </c>
      <c r="F5" s="5" t="inlineStr">
        <is>
          <t>Fitur Utama [S]</t>
        </is>
      </c>
      <c r="G5" s="5" t="inlineStr">
        <is>
          <t>Aturan Pembayaran &amp; Batasan [S]</t>
        </is>
      </c>
    </row>
    <row r="6">
      <c r="A6" s="6" t="inlineStr">
        <is>
          <t>Gratis (Pemula)</t>
        </is>
      </c>
      <c r="B6" s="7" t="inlineStr">
        <is>
          <t>Investor kasual &amp; leads top-of-funnel</t>
        </is>
      </c>
      <c r="C6" s="8" t="n">
        <v>0</v>
      </c>
      <c r="D6" s="8" t="n">
        <v>0</v>
      </c>
      <c r="E6" s="7" t="inlineStr">
        <is>
          <t>-</t>
        </is>
      </c>
      <c r="F6" s="7" t="inlineStr">
        <is>
          <t>Snapshot KSEI terbaru, pencarian emiten &amp; investor &gt;1%, top 10 pemegang</t>
        </is>
      </c>
      <c r="G6" s="7" t="inlineStr">
        <is>
          <t>Akses permanen gratis; tanpa histori diff, tanpa alert, tanpa ekspor CSV</t>
        </is>
      </c>
    </row>
    <row r="7">
      <c r="A7" s="6" t="inlineStr">
        <is>
          <t>Investor (Ritel)</t>
        </is>
      </c>
      <c r="B7" s="7" t="inlineStr">
        <is>
          <t>Investor ritel santai (cek bulanan saat KSEI rilis)</t>
        </is>
      </c>
      <c r="C7" s="8" t="n">
        <v>19000</v>
      </c>
      <c r="D7" s="8" t="n">
        <v>190000</v>
      </c>
      <c r="E7" s="9" t="n">
        <v>0.1667</v>
      </c>
      <c r="F7" s="7" t="inlineStr">
        <is>
          <t>Diff kepemilikan 1 bulan terbaru, 20+ grup konglomerasi, watchlist 10 saham, digest email</t>
        </is>
      </c>
      <c r="G7" s="7" t="inlineStr">
        <is>
          <t>Sekali bayar via QRIS (tanpa auto-renew). Habis 30/365 hari kembali ke Gratis</t>
        </is>
      </c>
    </row>
    <row r="8">
      <c r="A8" s="6" t="inlineStr">
        <is>
          <t>Pakar / Trader (Pro)</t>
        </is>
      </c>
      <c r="B8" s="7" t="inlineStr">
        <is>
          <t>Trader aktif, swing trader &amp; analis institusi</t>
        </is>
      </c>
      <c r="C8" s="8" t="n">
        <v>49000</v>
      </c>
      <c r="D8" s="8" t="n">
        <v>490000</v>
      </c>
      <c r="E8" s="9" t="n">
        <v>0.1667</v>
      </c>
      <c r="F8" s="7" t="inlineStr">
        <is>
          <t>Semua fitur Investor + histori multi-bulan lengkap, Bot Telegram alert instan, watchlist 50 saham, 50 CSV/bln</t>
        </is>
      </c>
      <c r="G8" s="7" t="inlineStr">
        <is>
          <t>Sekali bayar via QRIS/VA (tanpa auto-renew). Fitur profesional penuh tanpa kompromi</t>
        </is>
      </c>
    </row>
    <row r="9">
      <c r="A9" s="6" t="inlineStr">
        <is>
          <t>Founder Pass (Lifetime)</t>
        </is>
      </c>
      <c r="B9" s="7" t="inlineStr">
        <is>
          <t>Early supporter / pendukung modal awal</t>
        </is>
      </c>
      <c r="C9" s="7" t="inlineStr">
        <is>
          <t>-</t>
        </is>
      </c>
      <c r="D9" s="8" t="n">
        <v>599000</v>
      </c>
      <c r="E9" s="7" t="inlineStr">
        <is>
          <t>-</t>
        </is>
      </c>
      <c r="F9" s="7" t="inlineStr">
        <is>
          <t>Akses Pakar seumur hidup, badge eksklusif 'Founder', kuota strictly capped 50 kursi</t>
        </is>
      </c>
      <c r="G9" s="7" t="inlineStr">
        <is>
          <t>Hanya 50 kursi (Rp 29,95M kas awal). Menolak keras LTD publik Rp19k/49k (Bunuh Diri)</t>
        </is>
      </c>
    </row>
    <row r="11" ht="20" customHeight="1">
      <c r="A11" s="3" t="inlineStr">
        <is>
          <t>2. RINGKASAN JALUR UPGRADE &amp; MARKETING COMP ACCOUNTS V3 [S/A]</t>
        </is>
      </c>
      <c r="B11" s="29" t="n"/>
      <c r="C11" s="29" t="n"/>
      <c r="D11" s="29" t="n"/>
      <c r="E11" s="29" t="n"/>
      <c r="F11" s="29" t="n"/>
      <c r="G11" s="30" t="n"/>
    </row>
    <row r="12" ht="25" customHeight="1">
      <c r="A12" s="5" t="inlineStr">
        <is>
          <t>Dimensi Fitur</t>
        </is>
      </c>
      <c r="B12" s="5" t="inlineStr">
        <is>
          <t>Kebijakan / Aturan</t>
        </is>
      </c>
      <c r="C12" s="5" t="inlineStr">
        <is>
          <t>Harga / Biaya</t>
        </is>
      </c>
      <c r="D12" s="5" t="inlineStr">
        <is>
          <t>Dampak Pendapatan / Kas</t>
        </is>
      </c>
      <c r="E12" s="5" t="inlineStr">
        <is>
          <t>Perlakuan Trigger VPS Fase 0</t>
        </is>
      </c>
      <c r="F12" s="5" t="inlineStr">
        <is>
          <t>Target Break-Even ROI</t>
        </is>
      </c>
      <c r="G12" s="5" t="inlineStr">
        <is>
          <t>Rasional &amp; Kepatuhan Risiko</t>
        </is>
      </c>
    </row>
    <row r="13">
      <c r="A13" s="6" t="inlineStr">
        <is>
          <t>Upgrade Pass 1-Bulan (&lt;= 7 Hari)</t>
        </is>
      </c>
      <c r="B13" s="7" t="inlineStr">
        <is>
          <t>Bayar selisih penuh; masa aktif di-reset 30 hari penuh Pakar</t>
        </is>
      </c>
      <c r="C13" s="8" t="n">
        <v>30000</v>
      </c>
      <c r="D13" s="7" t="inlineStr">
        <is>
          <t>Tambahan kas Rp 30.000 / transaksi</t>
        </is>
      </c>
      <c r="E13" s="6" t="inlineStr">
        <is>
          <t>Dihitung sebagai paying upgrade</t>
        </is>
      </c>
      <c r="F13" s="7" t="inlineStr">
        <is>
          <t>Konversi instan</t>
        </is>
      </c>
      <c r="G13" s="7" t="inlineStr">
        <is>
          <t>Mendorong konversi cepat sebelum minggu pertama berakhir</t>
        </is>
      </c>
    </row>
    <row r="14">
      <c r="A14" s="6" t="inlineStr">
        <is>
          <t>Upgrade Pass 12-Bulan (Tahunan)</t>
        </is>
      </c>
      <c r="B14" s="7" t="inlineStr">
        <is>
          <t>Prorata sisa bulan penuh: Rp 25.000 x sisa bulan</t>
        </is>
      </c>
      <c r="C14" s="8" t="n">
        <v>225000</v>
      </c>
      <c r="D14" s="7" t="inlineStr">
        <is>
          <t>Rata-rata tambahan kas Rp 225k</t>
        </is>
      </c>
      <c r="E14" s="6" t="inlineStr">
        <is>
          <t>Dihitung sebagai paying upgrade</t>
        </is>
      </c>
      <c r="F14" s="7" t="inlineStr">
        <is>
          <t>ARPU expansion</t>
        </is>
      </c>
      <c r="G14" s="7" t="inlineStr">
        <is>
          <t>Menjaga masa aktif tetap sinkron dengan tanggal akhir tahunan</t>
        </is>
      </c>
    </row>
    <row r="15">
      <c r="A15" s="6" t="inlineStr">
        <is>
          <t>Loyalty Renewal Discount</t>
        </is>
      </c>
      <c r="B15" s="7" t="inlineStr">
        <is>
          <t>Potongan harga jika beli pass baru &lt;= 7 hari pasca-kedaluwarsa</t>
        </is>
      </c>
      <c r="C15" s="7" t="inlineStr">
        <is>
          <t>Rp 5.000 / 10%</t>
        </is>
      </c>
      <c r="D15" s="7" t="inlineStr">
        <is>
          <t>Mengurangi churn manual pasca-habis</t>
        </is>
      </c>
      <c r="E15" s="6" t="inlineStr">
        <is>
          <t>Pengguna berulang (repeat buyer)</t>
        </is>
      </c>
      <c r="F15" s="7" t="inlineStr">
        <is>
          <t>Menaikkan retensi 15-20%</t>
        </is>
      </c>
      <c r="G15" s="7" t="inlineStr">
        <is>
          <t>Mengompensasi tiadanya auto-debit dengan insentif ekonomi</t>
        </is>
      </c>
    </row>
    <row r="16">
      <c r="A16" s="6" t="inlineStr">
        <is>
          <t>Marketing Comp Accounts (5 Akun)</t>
        </is>
      </c>
      <c r="B16" s="7" t="inlineStr">
        <is>
          <t>5 akun Pakar gratis untuk influencer, admin grup &amp; early tester</t>
        </is>
      </c>
      <c r="C16" s="7" t="inlineStr">
        <is>
          <t>Rp 0 kas masuk (Hibah)</t>
        </is>
      </c>
      <c r="D16" s="7" t="inlineStr">
        <is>
          <t>Forgone revenue: Rp 245.000 / bln</t>
        </is>
      </c>
      <c r="E16" s="6" t="inlineStr">
        <is>
          <t>TIDAK DIHITUNG (Strict Excluded)</t>
        </is>
      </c>
      <c r="F16" s="7" t="inlineStr">
        <is>
          <t>Butuh 5 Pakar / 14 Inv</t>
        </is>
      </c>
      <c r="G16" s="7" t="inlineStr">
        <is>
          <t>Admin grant via CLI ihsg.admin comp grant; Strictly Excluded dari paying trigger (&lt;5)</t>
        </is>
      </c>
    </row>
    <row r="18" ht="20" customHeight="1">
      <c r="A18" s="3" t="inlineStr">
        <is>
          <t>3. MATRIKS PERBANDINGAN EMPAT SKENARIO FINANSIAL TAHUN KE-1 (V3 ONE-TIME PASS) [S/A]</t>
        </is>
      </c>
      <c r="B18" s="29" t="n"/>
      <c r="C18" s="29" t="n"/>
      <c r="D18" s="29" t="n"/>
      <c r="E18" s="29" t="n"/>
      <c r="F18" s="29" t="n"/>
      <c r="G18" s="30" t="n"/>
    </row>
    <row r="19" ht="25" customHeight="1">
      <c r="A19" s="5" t="inlineStr">
        <is>
          <t>Dimensi Kinerja Finansial (12 Bulan)</t>
        </is>
      </c>
      <c r="B19" s="5" t="inlineStr">
        <is>
          <t>Tipe</t>
        </is>
      </c>
      <c r="C19" s="5" t="inlineStr">
        <is>
          <t>Skenario 1: Pesimis (Cold-Start)</t>
        </is>
      </c>
      <c r="D19" s="5" t="inlineStr">
        <is>
          <t>Skenario 2: Konservatif</t>
        </is>
      </c>
      <c r="E19" s="5" t="inlineStr">
        <is>
          <t>Skenario 3: Moderat (Base)</t>
        </is>
      </c>
      <c r="F19" s="5" t="inlineStr">
        <is>
          <t>Skenario 4: Optimis</t>
        </is>
      </c>
      <c r="G19" s="5" t="inlineStr">
        <is>
          <t>Evaluasi Finansial &amp; Realitas Kas</t>
        </is>
      </c>
    </row>
    <row r="20">
      <c r="A20" s="7" t="inlineStr">
        <is>
          <t>Trafik Puncak M12 (Pengunjung) [A]</t>
        </is>
      </c>
      <c r="B20" s="10" t="inlineStr">
        <is>
          <t>[A]</t>
        </is>
      </c>
      <c r="C20" s="11">
        <f>Skenario_Cold_Start!M6</f>
        <v/>
      </c>
      <c r="D20" s="11">
        <f>Skenario_Konservatif!M6</f>
        <v/>
      </c>
      <c r="E20" s="11">
        <f>Skenario_Moderat_Base!M6</f>
        <v/>
      </c>
      <c r="F20" s="11">
        <f>Skenario_Optimis!M6</f>
        <v/>
      </c>
      <c r="G20" s="7" t="inlineStr">
        <is>
          <t>Asumsi lalu lintas unik bulanan</t>
        </is>
      </c>
    </row>
    <row r="21">
      <c r="A21" s="7" t="inlineStr">
        <is>
          <t>Akumulasi Basis Akun Gratis (M12) [A]</t>
        </is>
      </c>
      <c r="B21" s="10" t="inlineStr">
        <is>
          <t>[A]</t>
        </is>
      </c>
      <c r="C21" s="11">
        <f>Skenario_Cold_Start!N8</f>
        <v/>
      </c>
      <c r="D21" s="11">
        <f>Skenario_Konservatif!N8</f>
        <v/>
      </c>
      <c r="E21" s="11">
        <f>Skenario_Moderat_Base!N8</f>
        <v/>
      </c>
      <c r="F21" s="11">
        <f>Skenario_Optimis!N8</f>
        <v/>
      </c>
      <c r="G21" s="7" t="inlineStr">
        <is>
          <t>Basis database calon pembeli (leads)</t>
        </is>
      </c>
    </row>
    <row r="22">
      <c r="A22" s="7" t="inlineStr">
        <is>
          <t>Tingkat Konversi Akun Baru (%) [A]</t>
        </is>
      </c>
      <c r="B22" s="10" t="inlineStr">
        <is>
          <t>[A]</t>
        </is>
      </c>
      <c r="C22" s="9">
        <f>Skenario_Cold_Start!B10</f>
        <v/>
      </c>
      <c r="D22" s="9">
        <f>Skenario_Konservatif!B10</f>
        <v/>
      </c>
      <c r="E22" s="9">
        <f>Skenario_Moderat_Base!B10</f>
        <v/>
      </c>
      <c r="F22" s="9">
        <f>Skenario_Optimis!B10</f>
        <v/>
      </c>
      <c r="G22" s="7" t="inlineStr">
        <is>
          <t>Konversi pendaftar baru menjadi pembeli pass</t>
        </is>
      </c>
    </row>
    <row r="23">
      <c r="A23" s="7" t="inlineStr">
        <is>
          <t>Tingkat Perpanjangan Manual (Repeat %) [A]</t>
        </is>
      </c>
      <c r="B23" s="10" t="inlineStr">
        <is>
          <t>[A]</t>
        </is>
      </c>
      <c r="C23" s="9">
        <f>Skenario_Cold_Start!B17</f>
        <v/>
      </c>
      <c r="D23" s="9">
        <f>Skenario_Konservatif!B17</f>
        <v/>
      </c>
      <c r="E23" s="9">
        <f>Skenario_Moderat_Base!B17</f>
        <v/>
      </c>
      <c r="F23" s="9">
        <f>Skenario_Optimis!B17</f>
        <v/>
      </c>
      <c r="G23" s="7" t="inlineStr">
        <is>
          <t>Persentase pembeli 1M yang membeli pass baru setelah habis</t>
        </is>
      </c>
    </row>
    <row r="24">
      <c r="A24" s="7" t="inlineStr">
        <is>
          <t>Pengguna Aktif Berbayar Kas M12 [A]</t>
        </is>
      </c>
      <c r="B24" s="10" t="inlineStr">
        <is>
          <t>[A]</t>
        </is>
      </c>
      <c r="C24" s="11">
        <f>Skenario_Cold_Start!M31</f>
        <v/>
      </c>
      <c r="D24" s="11">
        <f>Skenario_Konservatif!M31</f>
        <v/>
      </c>
      <c r="E24" s="11">
        <f>Skenario_Moderat_Base!M31</f>
        <v/>
      </c>
      <c r="F24" s="11">
        <f>Skenario_Optimis!M31</f>
        <v/>
      </c>
      <c r="G24" s="7" t="inlineStr">
        <is>
          <t>Pengguna dengan pass valid aktif pada akhir M12</t>
        </is>
      </c>
    </row>
    <row r="25">
      <c r="A25" s="7" t="inlineStr">
        <is>
          <t>Akun Promosi Pemasaran (Comp) M12 [S]</t>
        </is>
      </c>
      <c r="B25" s="10" t="inlineStr">
        <is>
          <t>[S]</t>
        </is>
      </c>
      <c r="C25" s="11" t="n">
        <v>5</v>
      </c>
      <c r="D25" s="11" t="n">
        <v>5</v>
      </c>
      <c r="E25" s="11" t="n">
        <v>5</v>
      </c>
      <c r="F25" s="11" t="n">
        <v>5</v>
      </c>
      <c r="G25" s="7" t="inlineStr">
        <is>
          <t>5 akun Pakar gratis (Strictly exclude dari paying trigger)</t>
        </is>
      </c>
    </row>
    <row r="26">
      <c r="A26" s="7" t="inlineStr">
        <is>
          <t>Total Kas Masuk Bruto (12 Bulan) [A]</t>
        </is>
      </c>
      <c r="B26" s="10" t="inlineStr">
        <is>
          <t>[A]</t>
        </is>
      </c>
      <c r="C26" s="11">
        <f>Skenario_Cold_Start!N41</f>
        <v/>
      </c>
      <c r="D26" s="11">
        <f>Skenario_Konservatif!N41</f>
        <v/>
      </c>
      <c r="E26" s="11">
        <f>Skenario_Moderat_Base!N41</f>
        <v/>
      </c>
      <c r="F26" s="11">
        <f>Skenario_Optimis!N41</f>
        <v/>
      </c>
      <c r="G26" s="7" t="inlineStr">
        <is>
          <t>Total uang tunai masuk dari penjualan pass &amp; upgrade</t>
        </is>
      </c>
    </row>
    <row r="27">
      <c r="A27" s="7" t="inlineStr">
        <is>
          <t>Biaya Payment Gateway &amp; Refund (12M) [S/A]</t>
        </is>
      </c>
      <c r="B27" s="10" t="inlineStr">
        <is>
          <t>[S/A]</t>
        </is>
      </c>
      <c r="C27" s="11">
        <f>Skenario_Cold_Start!N46</f>
        <v/>
      </c>
      <c r="D27" s="11">
        <f>Skenario_Konservatif!N46</f>
        <v/>
      </c>
      <c r="E27" s="11">
        <f>Skenario_Moderat_Base!N46</f>
        <v/>
      </c>
      <c r="F27" s="11">
        <f>Skenario_Optimis!N46</f>
        <v/>
      </c>
      <c r="G27" s="7" t="inlineStr">
        <is>
          <t>MDR QRIS ~1,8% + Cadangan refund 1% + Settlement Rp20k/bln</t>
        </is>
      </c>
    </row>
    <row r="28">
      <c r="A28" s="7" t="inlineStr">
        <is>
          <t>Beban Operasional Tetap (OpEx 12M) [S/A]</t>
        </is>
      </c>
      <c r="B28" s="10" t="inlineStr">
        <is>
          <t>[S/A]</t>
        </is>
      </c>
      <c r="C28" s="11">
        <f>Skenario_Cold_Start!N55</f>
        <v/>
      </c>
      <c r="D28" s="11">
        <f>Skenario_Konservatif!N55</f>
        <v/>
      </c>
      <c r="E28" s="11">
        <f>Skenario_Moderat_Base!N55</f>
        <v/>
      </c>
      <c r="F28" s="11">
        <f>Skenario_Optimis!N55</f>
        <v/>
      </c>
      <c r="G28" s="7" t="inlineStr">
        <is>
          <t>Phase 0 VPS + AI Claude $20 + EODHD + Marketing (SQLite/Litestream Rp 0; Supabase Pro didrop per Jim D3)</t>
        </is>
      </c>
    </row>
    <row r="29">
      <c r="A29" s="12" t="inlineStr">
        <is>
          <t>LABA OPERASIONAL KAS (EBITDA 12M) [A]</t>
        </is>
      </c>
      <c r="B29" s="13" t="inlineStr">
        <is>
          <t>[A]</t>
        </is>
      </c>
      <c r="C29" s="14">
        <f>Skenario_Cold_Start!N57</f>
        <v/>
      </c>
      <c r="D29" s="14">
        <f>Skenario_Konservatif!N57</f>
        <v/>
      </c>
      <c r="E29" s="14">
        <f>Skenario_Moderat_Base!N57</f>
        <v/>
      </c>
      <c r="F29" s="14">
        <f>Skenario_Optimis!N57</f>
        <v/>
      </c>
      <c r="G29" s="15" t="inlineStr">
        <is>
          <t>Arus kas operasional bersih entitas</t>
        </is>
      </c>
    </row>
    <row r="30">
      <c r="A30" s="7" t="inlineStr">
        <is>
          <t>Margin Laba Kas EBITDA (%) [A]</t>
        </is>
      </c>
      <c r="B30" s="10" t="inlineStr">
        <is>
          <t>[A]</t>
        </is>
      </c>
      <c r="C30" s="9">
        <f>Skenario_Cold_Start!N58</f>
        <v/>
      </c>
      <c r="D30" s="9">
        <f>Skenario_Konservatif!N58</f>
        <v/>
      </c>
      <c r="E30" s="9">
        <f>Skenario_Moderat_Base!N58</f>
        <v/>
      </c>
      <c r="F30" s="9">
        <f>Skenario_Optimis!N58</f>
        <v/>
      </c>
      <c r="G30" s="7" t="inlineStr">
        <is>
          <t>Rasio EBITDA terhadap penerimaan kas bruto</t>
        </is>
      </c>
    </row>
    <row r="31">
      <c r="A31" s="7" t="inlineStr">
        <is>
          <t>Pajak PPh Final UMKM PP 55/2022 (WPOP) [S]</t>
        </is>
      </c>
      <c r="B31" s="10" t="inlineStr">
        <is>
          <t>[S]</t>
        </is>
      </c>
      <c r="C31" s="11">
        <f>Skenario_Cold_Start!N59</f>
        <v/>
      </c>
      <c r="D31" s="11">
        <f>Skenario_Konservatif!N59</f>
        <v/>
      </c>
      <c r="E31" s="11">
        <f>Skenario_Moderat_Base!N59</f>
        <v/>
      </c>
      <c r="F31" s="11">
        <f>Skenario_Optimis!N59</f>
        <v/>
      </c>
      <c r="G31" s="7" t="inlineStr">
        <is>
          <t>WPOP bebas pajak s.d. omzet Rp 500M (Pasal 69 PP 55/2022)</t>
        </is>
      </c>
    </row>
    <row r="32">
      <c r="A32" s="12" t="inlineStr">
        <is>
          <t>LABA BERSIH KAS SETELAH PAJAK [A]</t>
        </is>
      </c>
      <c r="B32" s="13" t="inlineStr">
        <is>
          <t>[A]</t>
        </is>
      </c>
      <c r="C32" s="14">
        <f>Skenario_Cold_Start!N60</f>
        <v/>
      </c>
      <c r="D32" s="14">
        <f>Skenario_Konservatif!N60</f>
        <v/>
      </c>
      <c r="E32" s="14">
        <f>Skenario_Moderat_Base!N60</f>
        <v/>
      </c>
      <c r="F32" s="14">
        <f>Skenario_Optimis!N60</f>
        <v/>
      </c>
      <c r="G32" s="15" t="inlineStr">
        <is>
          <t>Laba kas bersih setelah kewajiban pajak</t>
        </is>
      </c>
    </row>
    <row r="33">
      <c r="A33" s="7" t="inlineStr">
        <is>
          <t>Margin Kas Bersih Setelah Pajak (%) [A]</t>
        </is>
      </c>
      <c r="B33" s="10" t="inlineStr">
        <is>
          <t>[A]</t>
        </is>
      </c>
      <c r="C33" s="9">
        <f>Skenario_Cold_Start!N61</f>
        <v/>
      </c>
      <c r="D33" s="9">
        <f>Skenario_Konservatif!N61</f>
        <v/>
      </c>
      <c r="E33" s="9">
        <f>Skenario_Moderat_Base!N61</f>
        <v/>
      </c>
      <c r="F33" s="9">
        <f>Skenario_Optimis!N61</f>
        <v/>
      </c>
      <c r="G33" s="7" t="inlineStr">
        <is>
          <t>Margin laba bersih kas akhir</t>
        </is>
      </c>
    </row>
    <row r="34">
      <c r="A34" s="7" t="inlineStr">
        <is>
          <t>Bulan Titik Impas Operasional (EBITDA &gt; 0)</t>
        </is>
      </c>
      <c r="B34" s="10" t="inlineStr">
        <is>
          <t>[A]</t>
        </is>
      </c>
      <c r="C34" s="11" t="inlineStr">
        <is>
          <t>Tidak Pernah (Defisit)</t>
        </is>
      </c>
      <c r="D34" s="11" t="inlineStr">
        <is>
          <t>Bulan ke-4</t>
        </is>
      </c>
      <c r="E34" s="11" t="inlineStr">
        <is>
          <t>Bulan ke-2</t>
        </is>
      </c>
      <c r="F34" s="11" t="inlineStr">
        <is>
          <t>Bulan ke-1</t>
        </is>
      </c>
      <c r="G34" s="7" t="inlineStr">
        <is>
          <t>Bulan pertama arus kas bulanan melampaui pengeluaran</t>
        </is>
      </c>
    </row>
    <row r="35">
      <c r="A35" s="7" t="inlineStr">
        <is>
          <t>Bulan Titik Impas Kas Akumulatif</t>
        </is>
      </c>
      <c r="B35" s="10" t="inlineStr">
        <is>
          <t>[A]</t>
        </is>
      </c>
      <c r="C35" s="11" t="inlineStr">
        <is>
          <t>Tidak Pernah (Defisit)</t>
        </is>
      </c>
      <c r="D35" s="11" t="inlineStr">
        <is>
          <t>Bulan ke-6</t>
        </is>
      </c>
      <c r="E35" s="11" t="inlineStr">
        <is>
          <t>Bulan ke-2</t>
        </is>
      </c>
      <c r="F35" s="11" t="inlineStr">
        <is>
          <t>Bulan ke-1</t>
        </is>
      </c>
      <c r="G35" s="7" t="inlineStr">
        <is>
          <t>Bulan saldo kas kumulatif berbalik menjadi positif</t>
        </is>
      </c>
    </row>
    <row r="36">
      <c r="A36" s="12" t="inlineStr">
        <is>
          <t>SALDO KAS AKHIR TAHUN KE-1 [A]</t>
        </is>
      </c>
      <c r="B36" s="13" t="inlineStr">
        <is>
          <t>[A]</t>
        </is>
      </c>
      <c r="C36" s="14">
        <f>Skenario_Cold_Start!M62</f>
        <v/>
      </c>
      <c r="D36" s="14">
        <f>Skenario_Konservatif!M62</f>
        <v/>
      </c>
      <c r="E36" s="14">
        <f>Skenario_Moderat_Base!M62</f>
        <v/>
      </c>
      <c r="F36" s="14">
        <f>Skenario_Optimis!M62</f>
        <v/>
      </c>
      <c r="G36" s="15" t="inlineStr">
        <is>
          <t>Uang kas cair yang mengendap di bank pada akhir M12</t>
        </is>
      </c>
    </row>
    <row r="38" ht="20" customHeight="1">
      <c r="A38" s="3" t="inlineStr">
        <is>
          <t>4. ANALISIS TREADMILL AKUISISI: SATU KALI BAYAR VS PENDAPATAN BERULANG (ONE-TIME VS RECURRING) [S/A]</t>
        </is>
      </c>
      <c r="B38" s="29" t="n"/>
      <c r="C38" s="29" t="n"/>
      <c r="D38" s="29" t="n"/>
      <c r="E38" s="29" t="n"/>
      <c r="F38" s="29" t="n"/>
      <c r="G38" s="30" t="n"/>
    </row>
    <row r="39" ht="25" customHeight="1">
      <c r="A39" s="5" t="inlineStr">
        <is>
          <t>Dimensi Evaluasi</t>
        </is>
      </c>
      <c r="B39" s="5" t="inlineStr">
        <is>
          <t>Model Recurring Subscription (Auto-Renew)</t>
        </is>
      </c>
      <c r="C39" s="5" t="inlineStr">
        <is>
          <t>Model One-Time Pass (Sekali Bayar)</t>
        </is>
      </c>
      <c r="D39" s="5" t="inlineStr">
        <is>
          <t>Dampak Bisnis &amp; Evaluasi Oscar</t>
        </is>
      </c>
    </row>
    <row r="40">
      <c r="A40" s="6" t="inlineStr">
        <is>
          <t>Mekanisme Pembayaran</t>
        </is>
      </c>
      <c r="B40" s="7" t="inlineStr">
        <is>
          <t>Auto-debit kartu / e-wallet per bulan otomatis</t>
        </is>
      </c>
      <c r="C40" s="6" t="inlineStr">
        <is>
          <t>Manual push QRIS per transaksi (tanpa auto-renew)</t>
        </is>
      </c>
      <c r="D40" s="7" t="inlineStr">
        <is>
          <t>QRIS tidak bisa auto-debit; model One-Time sesuai fakta rail Indonesia</t>
        </is>
      </c>
    </row>
    <row r="41">
      <c r="A41" s="6" t="inlineStr">
        <is>
          <t>Retensi Bulanan / Churn</t>
        </is>
      </c>
      <c r="B41" s="7" t="inlineStr">
        <is>
          <t>Churn 6,5% / bln (Retensi otomatis 93,5%)</t>
        </is>
      </c>
      <c r="C41" s="6" t="inlineStr">
        <is>
          <t>Churn manual ~55% / bln (Repeat purchase 45%)</t>
        </is>
      </c>
      <c r="D41" s="7" t="inlineStr">
        <is>
          <t>Friksi transaksi manual menurunkan retensi bulanan secara tajam</t>
        </is>
      </c>
    </row>
    <row r="42">
      <c r="A42" s="6" t="inlineStr">
        <is>
          <t>Pembeli Baru Menutup OpEx Fase 0 (Rp 390k)</t>
        </is>
      </c>
      <c r="B42" s="7" t="inlineStr">
        <is>
          <t>Hanya butuh 1-2 pembeli baru / bln (menambal churn)</t>
        </is>
      </c>
      <c r="C42" s="6" t="inlineStr">
        <is>
          <t>Wajib 15 pembeli baru / bln jika zero renewal</t>
        </is>
      </c>
      <c r="D42" s="7" t="inlineStr">
        <is>
          <t>Setiap awal bulan kas kembali ke Rp 0; wajib akuisisi konstan</t>
        </is>
      </c>
    </row>
    <row r="43">
      <c r="A43" s="6" t="inlineStr">
        <is>
          <t>Pembeli Baru Menutup OpEx Fase 1 (Rp 710k)</t>
        </is>
      </c>
      <c r="B43" s="7" t="inlineStr">
        <is>
          <t>Hanya butuh 2-3 pembeli baru / bln</t>
        </is>
      </c>
      <c r="C43" s="6" t="inlineStr">
        <is>
          <t>Wajib 27 pembeli baru / bln jika zero renewal</t>
        </is>
      </c>
      <c r="D43" s="7" t="inlineStr">
        <is>
          <t>Treadmill akuisisi makin berat seiring bertambahnya beban server</t>
        </is>
      </c>
    </row>
    <row r="44">
      <c r="A44" s="16" t="inlineStr">
        <is>
          <t>Annualized Run-Rate (ARR M12)</t>
        </is>
      </c>
      <c r="B44" s="17" t="inlineStr">
        <is>
          <t>Rp 322 Juta (Terkontrak berulang)</t>
        </is>
      </c>
      <c r="C44" s="16" t="inlineStr">
        <is>
          <t>Rp 0 (NOL - Tidak ada ARR terjamin)</t>
        </is>
      </c>
      <c r="D44" s="17" t="inlineStr">
        <is>
          <t>Valuasi SaaS berbasis kelipatan ARR hilang; bisnis menjadi transactional</t>
        </is>
      </c>
    </row>
    <row r="45">
      <c r="A45" s="6" t="inlineStr">
        <is>
          <t>Total Kas Masuk Bruto 12M (Base Case)</t>
        </is>
      </c>
      <c r="B45" s="7" t="inlineStr">
        <is>
          <t>Rp 164,89 Juta</t>
        </is>
      </c>
      <c r="C45" s="6" t="inlineStr">
        <is>
          <t>Rp 113,38 Juta</t>
        </is>
      </c>
      <c r="D45" s="7" t="inlineStr">
        <is>
          <t>Penurunan kas bruto sebesar Rp 51,51 Juta (-31,2%)</t>
        </is>
      </c>
    </row>
    <row r="46">
      <c r="A46" s="16" t="inlineStr">
        <is>
          <t>Saldo Kas Mengendap Akhir Tahun (Base Case)</t>
        </is>
      </c>
      <c r="B46" s="17" t="inlineStr">
        <is>
          <t>Rp 137,90 Juta</t>
        </is>
      </c>
      <c r="C46" s="16" t="inlineStr">
        <is>
          <t>Rp 87,70 Juta</t>
        </is>
      </c>
      <c r="D46" s="17" t="inlineStr">
        <is>
          <t>Saldo kas akhir berkurang Rp 50,20 Juta (-36,4%), namun tetap sangat sehat</t>
        </is>
      </c>
    </row>
  </sheetData>
  <mergeCells count="4">
    <mergeCell ref="A18:G18"/>
    <mergeCell ref="A38:G38"/>
    <mergeCell ref="A11:G1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25" customWidth="1" min="2" max="2"/>
    <col width="18" customWidth="1" min="3" max="3"/>
    <col width="55" customWidth="1" min="4" max="4"/>
    <col width="21" customWidth="1" min="5" max="5"/>
    <col width="72" customWidth="1" min="6" max="6"/>
  </cols>
  <sheetData>
    <row r="1">
      <c r="A1" s="1" t="inlineStr">
        <is>
          <t>IHSG STORM (ihsg.badai.tech) — PARAMETER FINANSIAL &amp; MODEL V3</t>
        </is>
      </c>
    </row>
    <row r="2">
      <c r="A2" s="2" t="inlineStr">
        <is>
          <t>Selector Struktur Pembayaran, Biaya Tangga OpEx, AI Agent Squad, PPh PP 55/2022, Gateway &amp; Comp Accounts (v3.1: Drop Supabase Pro per Jim D3) | Oscar</t>
        </is>
      </c>
    </row>
    <row r="4" ht="20" customHeight="1">
      <c r="A4" s="3" t="inlineStr">
        <is>
          <t>1. STRUKTUR PEMBAYARAN &amp; SELECTOR UTAMA (KEPUTUSAN FINAL BOBBY &amp; REKOMENDASI OSCAR)</t>
        </is>
      </c>
      <c r="B4" s="29" t="n"/>
      <c r="C4" s="29" t="n"/>
      <c r="D4" s="29" t="n"/>
      <c r="E4" s="29" t="n"/>
      <c r="F4" s="30" t="n"/>
    </row>
    <row r="5">
      <c r="A5" s="18" t="inlineStr">
        <is>
          <t>Parameter Struktur</t>
        </is>
      </c>
      <c r="B5" s="18" t="inlineStr">
        <is>
          <t>Nilai / Pilihan Terpilih</t>
        </is>
      </c>
      <c r="C5" s="18" t="inlineStr">
        <is>
          <t>Status / Opsi</t>
        </is>
      </c>
      <c r="D5" s="18" t="inlineStr">
        <is>
          <t>Keterangan Finansial &amp; Arahan Founder</t>
        </is>
      </c>
    </row>
    <row r="6">
      <c r="A6" s="18" t="inlineStr">
        <is>
          <t>Model Pembayaran Aktif (Switch Selector)</t>
        </is>
      </c>
      <c r="B6" s="19" t="inlineStr">
        <is>
          <t>One-Time Pass (Fixed-Term)</t>
        </is>
      </c>
      <c r="C6" t="inlineStr">
        <is>
          <t>One-Time / Recurring / Lifetime</t>
        </is>
      </c>
      <c r="D6" t="inlineStr">
        <is>
          <t>Arahan Final Bobby: ONE-TIME ONLY. Rekomendasi Oscar &amp; Jim: Pass 1-Bulan &amp; Pass 12-Bulan (Lifetime Rp19k/49k Ditolak Fatal)</t>
        </is>
      </c>
    </row>
    <row r="7">
      <c r="A7" s="7" t="inlineStr">
        <is>
          <t>Investor: Pass 1-Bulan (30 Hari) [S]</t>
        </is>
      </c>
      <c r="B7" s="8" t="n">
        <v>19000</v>
      </c>
      <c r="C7" s="10" t="inlineStr">
        <is>
          <t>IDR / transaksi</t>
        </is>
      </c>
      <c r="D7" s="7" t="inlineStr">
        <is>
          <t>Akses 30 hari bayar sekali via QRIS (Nett Rp 18.306 setelah gateway &amp; refund)</t>
        </is>
      </c>
      <c r="E7" s="4" t="n"/>
      <c r="F7" s="4" t="n"/>
    </row>
    <row r="8">
      <c r="A8" s="7" t="inlineStr">
        <is>
          <t>Investor: Pass 12-Bulan (365 Hari) [S]</t>
        </is>
      </c>
      <c r="B8" s="8" t="n">
        <v>190000</v>
      </c>
      <c r="C8" s="10" t="inlineStr">
        <is>
          <t>IDR / transaksi</t>
        </is>
      </c>
      <c r="D8" s="7" t="inlineStr">
        <is>
          <t>Akses 365 hari (bayar 10 bulan dapat 12, diskon 16,7%, kas di muka Rp 190k)</t>
        </is>
      </c>
      <c r="E8" s="4" t="n"/>
      <c r="F8" s="4" t="n"/>
    </row>
    <row r="9">
      <c r="A9" s="7" t="inlineStr">
        <is>
          <t>Pakar: Pass 1-Bulan (30 Hari) [S]</t>
        </is>
      </c>
      <c r="B9" s="8" t="n">
        <v>49000</v>
      </c>
      <c r="C9" s="10" t="inlineStr">
        <is>
          <t>IDR / transaksi</t>
        </is>
      </c>
      <c r="D9" s="7" t="inlineStr">
        <is>
          <t>Akses 30 hari bayar sekali via QRIS (Nett Rp 47.724 setelah gateway &amp; refund)</t>
        </is>
      </c>
      <c r="E9" s="4" t="n"/>
      <c r="F9" s="4" t="n"/>
    </row>
    <row r="10">
      <c r="A10" s="7" t="inlineStr">
        <is>
          <t>Pakar: Pass 12-Bulan (365 Hari) [S]</t>
        </is>
      </c>
      <c r="B10" s="8" t="n">
        <v>490000</v>
      </c>
      <c r="C10" s="10" t="inlineStr">
        <is>
          <t>IDR / transaksi</t>
        </is>
      </c>
      <c r="D10" s="7" t="inlineStr">
        <is>
          <t>Akses 365 hari (bayar 10 bulan dapat 12, diskon 16,7%, kas di muka Rp 490k)</t>
        </is>
      </c>
      <c r="E10" s="4" t="n"/>
      <c r="F10" s="4" t="n"/>
    </row>
    <row r="11">
      <c r="A11" s="7" t="inlineStr">
        <is>
          <t>Founder Pass (Lifetime Pro - Capped 50 Kursi) [S/A]</t>
        </is>
      </c>
      <c r="B11" s="8" t="n">
        <v>599000</v>
      </c>
      <c r="C11" s="10" t="inlineStr">
        <is>
          <t>IDR / kursi</t>
        </is>
      </c>
      <c r="D11" s="7" t="inlineStr">
        <is>
          <t>Opsi modal awal darurat (maks 50 kursi = Rp 29,95M kas di muka; menolak LTD tanpa batas)</t>
        </is>
      </c>
      <c r="E11" s="4" t="n"/>
      <c r="F11" s="4" t="n"/>
    </row>
    <row r="12">
      <c r="A12" s="7" t="inlineStr">
        <is>
          <t>Harga Lifetime Rp 19k / Rp 49k Status [S]</t>
        </is>
      </c>
      <c r="B12" s="7" t="inlineStr">
        <is>
          <t>DITOLAK (FATAL)</t>
        </is>
      </c>
      <c r="C12" s="10" t="inlineStr">
        <is>
          <t>Analisis Risiko</t>
        </is>
      </c>
      <c r="D12" s="7" t="inlineStr">
        <is>
          <t>Tidak dapat menutup biaya operasional berkelanjutan (Rp 390k-Rp 1,4M/bln); liabilitas abadi</t>
        </is>
      </c>
      <c r="E12" s="4" t="n"/>
      <c r="F12" s="4" t="n"/>
    </row>
    <row r="14" ht="20" customHeight="1">
      <c r="A14" s="3" t="inlineStr">
        <is>
          <t>2. ATURAN JALUR UPGRADE (UPGRADE PATH: INVESTOR -&gt; PAKAR)</t>
        </is>
      </c>
      <c r="B14" s="29" t="n"/>
      <c r="C14" s="29" t="n"/>
      <c r="D14" s="29" t="n"/>
      <c r="E14" s="29" t="n"/>
      <c r="F14" s="30" t="n"/>
    </row>
    <row r="15">
      <c r="A15" s="7" t="inlineStr">
        <is>
          <t>Rasio Konversi Upgrade Investor ke Pakar (%) [A]</t>
        </is>
      </c>
      <c r="B15" s="20" t="n">
        <v>0.08</v>
      </c>
      <c r="C15" s="10" t="inlineStr">
        <is>
          <t>8,0% Cohort</t>
        </is>
      </c>
      <c r="D15" s="7" t="inlineStr">
        <is>
          <t>Asumsi: 8% dari pembeli Investor meng-upgrade ke paket Pakar</t>
        </is>
      </c>
      <c r="E15" s="4" t="n"/>
      <c r="F15" s="4" t="n"/>
    </row>
    <row r="16">
      <c r="A16" s="7" t="inlineStr">
        <is>
          <t>Biaya Upgrade Pass 1-Bulan (Dalam 7 Hari) [S]</t>
        </is>
      </c>
      <c r="B16" s="8" t="n">
        <v>30000</v>
      </c>
      <c r="C16" s="10" t="inlineStr">
        <is>
          <t>IDR flat</t>
        </is>
      </c>
      <c r="D16" s="7" t="inlineStr">
        <is>
          <t>Bayar selisih penuh: Rp 49.000 - Rp 19.000 = Rp 30.000. Reset 30 hari Pakar penuh!</t>
        </is>
      </c>
      <c r="E16" s="4" t="n"/>
      <c r="F16" s="4" t="n"/>
    </row>
    <row r="17">
      <c r="A17" s="7" t="inlineStr">
        <is>
          <t>Biaya Upgrade Pass 12-Bulan (Prorata per Sisa Bulan) [A]</t>
        </is>
      </c>
      <c r="B17" s="8" t="n">
        <v>25000</v>
      </c>
      <c r="C17" s="10" t="inlineStr">
        <is>
          <t>IDR / bulan</t>
        </is>
      </c>
      <c r="D17" s="7" t="inlineStr">
        <is>
          <t>Prorata selisih tahunan: (Rp 490k - Rp 190k) / 12 = Rp 25.000/bln sisa masa aktif</t>
        </is>
      </c>
      <c r="E17" s="4" t="n"/>
      <c r="F17" s="4" t="n"/>
    </row>
    <row r="18">
      <c r="A18" s="7" t="inlineStr">
        <is>
          <t>Perpanjangan Cepat (Loyalty Renewal Discount - 1M) [A]</t>
        </is>
      </c>
      <c r="B18" s="8" t="n">
        <v>5000</v>
      </c>
      <c r="C18" s="10" t="inlineStr">
        <is>
          <t>IDR potongan</t>
        </is>
      </c>
      <c r="D18" s="7" t="inlineStr">
        <is>
          <t>Diskon Rp 5.000 jika membeli pass baru dalam &lt;= 7 hari setelah kedaluwarsa</t>
        </is>
      </c>
      <c r="E18" s="4" t="n"/>
      <c r="F18" s="4" t="n"/>
    </row>
    <row r="19">
      <c r="A19" s="7" t="inlineStr">
        <is>
          <t>Perpanjangan Cepat (Loyalty Renewal Discount - 12M) [A]</t>
        </is>
      </c>
      <c r="B19" s="20" t="n">
        <v>0.1</v>
      </c>
      <c r="C19" s="10" t="inlineStr">
        <is>
          <t>10% potongan</t>
        </is>
      </c>
      <c r="D19" s="7" t="inlineStr">
        <is>
          <t>Diskon 10% tambahan untuk perpanjangan pass 12-bulan dalam &lt;= 7 hari</t>
        </is>
      </c>
      <c r="E19" s="4" t="n"/>
      <c r="F19" s="4" t="n"/>
    </row>
    <row r="20">
      <c r="A20" s="7" t="inlineStr">
        <is>
          <t>Kebijakan Penurunan Paket (Downgrade) &amp; Refund [S]</t>
        </is>
      </c>
      <c r="B20" s="7" t="inlineStr">
        <is>
          <t>NO REFUND / NO MID-TERM DOWNGRADE</t>
        </is>
      </c>
      <c r="C20" s="10" t="inlineStr">
        <is>
          <t>Kebijakan Operasional</t>
        </is>
      </c>
      <c r="D20" s="7" t="inlineStr">
        <is>
          <t>Tidak ada refund kas di tengah periode; penurunan tier berlaku otomatis saat masa aktif habis</t>
        </is>
      </c>
      <c r="E20" s="4" t="n"/>
      <c r="F20" s="4" t="n"/>
    </row>
    <row r="22" ht="20" customHeight="1">
      <c r="A22" s="3" t="inlineStr">
        <is>
          <t>3. KEBIJAKAN MARKETING COMP ACCOUNTS (5 AKUN PRO/PLUS GRATIS)</t>
        </is>
      </c>
      <c r="B22" s="29" t="n"/>
      <c r="C22" s="29" t="n"/>
      <c r="D22" s="29" t="n"/>
      <c r="E22" s="29" t="n"/>
      <c r="F22" s="30" t="n"/>
    </row>
    <row r="23">
      <c r="A23" s="7" t="inlineStr">
        <is>
          <t>Jumlah Kuota Akun Comp Promosi [S]</t>
        </is>
      </c>
      <c r="B23" s="8" t="n">
        <v>5</v>
      </c>
      <c r="C23" s="10" t="inlineStr">
        <is>
          <t>Akun Aktif Maks</t>
        </is>
      </c>
      <c r="D23" s="7" t="inlineStr">
        <is>
          <t>Diberikan kepada influencer saham, admin komunitas, dan tester awal terverifikasi</t>
        </is>
      </c>
      <c r="E23" s="4" t="n"/>
      <c r="F23" s="4" t="n"/>
    </row>
    <row r="24">
      <c r="A24" s="7" t="inlineStr">
        <is>
          <t>Tier Akses yang Diberikan [S]</t>
        </is>
      </c>
      <c r="B24" s="7" t="inlineStr">
        <is>
          <t>Pakar (Pro)</t>
        </is>
      </c>
      <c r="C24" s="10" t="inlineStr">
        <is>
          <t>Fitur Tertinggi</t>
        </is>
      </c>
      <c r="D24" s="7" t="inlineStr">
        <is>
          <t>Wajib Pakar agar influencer bisa memamerkan bot Telegram alert dan histori KSEI</t>
        </is>
      </c>
      <c r="E24" s="4" t="n"/>
      <c r="F24" s="4" t="n"/>
    </row>
    <row r="25">
      <c r="A25" s="7" t="inlineStr">
        <is>
          <t>Durasi Akses Hibah (Grant Duration) [S]</t>
        </is>
      </c>
      <c r="B25" s="8" t="n">
        <v>90</v>
      </c>
      <c r="C25" s="10" t="inlineStr">
        <is>
          <t>Hari (3 Bulan)</t>
        </is>
      </c>
      <c r="D25" s="7" t="inlineStr">
        <is>
          <t>Masa aktif 90 hari; perpanjangan 90 hari jika mempublikasikan &gt;= 2 ulasan publik</t>
        </is>
      </c>
      <c r="E25" s="4" t="n"/>
      <c r="F25" s="4" t="n"/>
    </row>
    <row r="26">
      <c r="A26" s="7" t="inlineStr">
        <is>
          <t>Metode Pemberian Akses [S]</t>
        </is>
      </c>
      <c r="B26" s="7" t="inlineStr">
        <is>
          <t>Admin Grant (By Email/Auth)</t>
        </is>
      </c>
      <c r="C26" s="10" t="inlineStr">
        <is>
          <t>Bypass Gateway</t>
        </is>
      </c>
      <c r="D26" s="7" t="inlineStr">
        <is>
          <t>Pemberian langsung via admin CLI ihsg.admin comp grant ke tabel entitlements (Rp 0 bypass, tanpa invoice Xendit)</t>
        </is>
      </c>
      <c r="E26" s="4" t="n"/>
      <c r="F26" s="4" t="n"/>
    </row>
    <row r="27">
      <c r="A27" s="7" t="inlineStr">
        <is>
          <t>Beban Kas Marginal per Akun per Bulan [A]</t>
        </is>
      </c>
      <c r="B27" s="8" t="n">
        <v>2000</v>
      </c>
      <c r="C27" s="10" t="inlineStr">
        <is>
          <t>IDR / akun / bln</t>
        </is>
      </c>
      <c r="D27" s="7" t="inlineStr">
        <is>
          <t>Beban kueri database SQLite/WAL &amp; Litestream di VPS sangat ringan (~Rp 0); Telegram Bot API gratis 100%</t>
        </is>
      </c>
      <c r="E27" s="4" t="n"/>
      <c r="F27" s="4" t="n"/>
    </row>
    <row r="28">
      <c r="A28" s="7" t="inlineStr">
        <is>
          <t>Opportunity Cost (Forgone Revenue) per Bulan [S]</t>
        </is>
      </c>
      <c r="B28" s="8" t="n">
        <v>245000</v>
      </c>
      <c r="C28" s="10" t="inlineStr">
        <is>
          <t>IDR / bln</t>
        </is>
      </c>
      <c r="D28" s="7">
        <f> 5 akun x Rp 49.000 = Rp 245.000 / bulan (Rp 2.940.000 / tahun)</f>
        <v/>
      </c>
      <c r="E28" s="4" t="n"/>
      <c r="F28" s="4" t="n"/>
    </row>
    <row r="29">
      <c r="A29" s="7" t="inlineStr">
        <is>
          <t>Status Penghitungan Trigger Migrasi VPS Fase 0 [S]</t>
        </is>
      </c>
      <c r="B29" s="7" t="inlineStr">
        <is>
          <t>STRICT EXCLUDED (NOL)</t>
        </is>
      </c>
      <c r="C29" s="10" t="inlineStr">
        <is>
          <t>Metrik Audit</t>
        </is>
      </c>
      <c r="D29" s="7" t="inlineStr">
        <is>
          <t>TIDAK DIHITUNG sebagai paying user; hanya transaksi kas riil &gt; Rp 0 yang dihitung</t>
        </is>
      </c>
      <c r="E29" s="4" t="n"/>
      <c r="F29" s="4" t="n"/>
    </row>
    <row r="30">
      <c r="A30" s="7" t="inlineStr">
        <is>
          <t>Target Konversi Impas (BE ROI) - Investor 1M [A]</t>
        </is>
      </c>
      <c r="B30" s="8" t="n">
        <v>14</v>
      </c>
      <c r="C30" s="10" t="inlineStr">
        <is>
          <t>Pembeli / bln</t>
        </is>
      </c>
      <c r="D30" s="7" t="inlineStr">
        <is>
          <t>5 akun comp impas jika seluruh influencer menghasilkan 14 pembeli Investor baru/bln</t>
        </is>
      </c>
      <c r="E30" s="4" t="n"/>
      <c r="F30" s="4" t="n"/>
    </row>
    <row r="31">
      <c r="A31" s="7" t="inlineStr">
        <is>
          <t>Target Konversi Impas (BE ROI) - Pakar 1M [A]</t>
        </is>
      </c>
      <c r="B31" s="8" t="n">
        <v>5</v>
      </c>
      <c r="C31" s="10" t="inlineStr">
        <is>
          <t>Pembeli / bln</t>
        </is>
      </c>
      <c r="D31" s="7" t="inlineStr">
        <is>
          <t>5 akun comp impas jika menghasilkan hanya 5 pembeli Pakar baru/bln (1 per influencer)</t>
        </is>
      </c>
      <c r="E31" s="4" t="n"/>
      <c r="F31" s="4" t="n"/>
    </row>
    <row r="32">
      <c r="A32" s="7" t="inlineStr">
        <is>
          <t>Target Konversi Impas (BE ROI) - Pakar 12M [A]</t>
        </is>
      </c>
      <c r="B32" s="8" t="n">
        <v>1</v>
      </c>
      <c r="C32" s="10" t="inlineStr">
        <is>
          <t>Pembeli / 2 bln</t>
        </is>
      </c>
      <c r="D32" s="7" t="inlineStr">
        <is>
          <t>1 pembeli Pakar 12-Bulan (Rp 490k) menutup biaya promosi 5 comp accounts selama 2 bulan!</t>
        </is>
      </c>
      <c r="E32" s="4" t="n"/>
      <c r="F32" s="4" t="n"/>
    </row>
    <row r="34" ht="20" customHeight="1">
      <c r="A34" s="3" t="inlineStr">
        <is>
          <t>4. JADWAL TANGGA BIAYA OPERASIONAL TETAP (STEPPED OPEX SCHEDULE - IDR / BULAN) [S]</t>
        </is>
      </c>
      <c r="B34" s="29" t="n"/>
      <c r="C34" s="29" t="n"/>
      <c r="D34" s="29" t="n"/>
      <c r="E34" s="29" t="n"/>
      <c r="F34" s="30" t="n"/>
    </row>
    <row r="35">
      <c r="A35" s="18" t="inlineStr">
        <is>
          <t>Komponen Biaya Tetap / Vendor</t>
        </is>
      </c>
      <c r="B35" s="18" t="inlineStr">
        <is>
          <t>Fase 0 (&lt;5 Subs)</t>
        </is>
      </c>
      <c r="C35" s="18" t="inlineStr">
        <is>
          <t>Fase 1 (5-49 Subs)</t>
        </is>
      </c>
      <c r="D35" s="18" t="inlineStr">
        <is>
          <t>Fase 2 (50-499 Subs)</t>
        </is>
      </c>
      <c r="E35" s="18" t="inlineStr">
        <is>
          <t>Fase 3 (500+ Subs)</t>
        </is>
      </c>
      <c r="F35" s="18" t="inlineStr">
        <is>
          <t>Keterangan &amp; Trigger [S]</t>
        </is>
      </c>
    </row>
    <row r="36">
      <c r="A36" s="7" t="inlineStr">
        <is>
          <t>Vercel Pro (Hosting Web &amp; Edge Functions) [S]</t>
        </is>
      </c>
      <c r="B36" s="11" t="n">
        <v>0</v>
      </c>
      <c r="C36" s="11" t="n">
        <v>320000</v>
      </c>
      <c r="D36" s="11" t="n">
        <v>320000</v>
      </c>
      <c r="E36" s="11" t="n">
        <v>320000</v>
      </c>
      <c r="F36" s="7" t="inlineStr">
        <is>
          <t>Phase 0 VPS mandiri Rp 0. Wajib Vercel Pro $20 saat &gt;= 5 paying users</t>
        </is>
      </c>
    </row>
    <row r="37">
      <c r="A37" s="7" t="inlineStr">
        <is>
          <t>Alokasi Domain &amp; DNS Routing [S]</t>
        </is>
      </c>
      <c r="B37" s="11" t="n">
        <v>20000</v>
      </c>
      <c r="C37" s="11" t="n">
        <v>20000</v>
      </c>
      <c r="D37" s="11" t="n">
        <v>20000</v>
      </c>
      <c r="E37" s="11" t="n">
        <v>20000</v>
      </c>
      <c r="F37" s="7" t="inlineStr">
        <is>
          <t>Subdomain ihsg.badai.tech + alokasi DNS</t>
        </is>
      </c>
    </row>
    <row r="38">
      <c r="A38" s="7" t="inlineStr">
        <is>
          <t>Operasional VPS &amp; Scraper KSEI [S]</t>
        </is>
      </c>
      <c r="B38" s="11" t="n">
        <v>50000</v>
      </c>
      <c r="C38" s="11" t="n">
        <v>50000</v>
      </c>
      <c r="D38" s="11" t="n">
        <v>50000</v>
      </c>
      <c r="E38" s="11" t="n">
        <v>50000</v>
      </c>
      <c r="F38" s="7" t="inlineStr">
        <is>
          <t>IDCloudHost 103.179.56.61 cron scraper KSEI harian</t>
        </is>
      </c>
    </row>
    <row r="39">
      <c r="A39" s="12" t="inlineStr">
        <is>
          <t>SUB-TOTAL INFRASTRUKTUR TEKNOLOGI [S]</t>
        </is>
      </c>
      <c r="B39" s="14">
        <f>SUM(B36:B38)</f>
        <v/>
      </c>
      <c r="C39" s="14">
        <f>SUM(C36:C38)</f>
        <v/>
      </c>
      <c r="D39" s="14">
        <f>SUM(D36:D38)</f>
        <v/>
      </c>
      <c r="E39" s="14">
        <f>SUM(E36:E38)</f>
        <v/>
      </c>
      <c r="F39" s="15" t="inlineStr">
        <is>
          <t>Fase 0 super ramping (Rp 70k); Fase 1+ stabil Rp 390k/bln</t>
        </is>
      </c>
    </row>
    <row r="40">
      <c r="A40" s="7" t="inlineStr">
        <is>
          <t>Biaya Operasional AI Agent Squad (Claude) [S]</t>
        </is>
      </c>
      <c r="B40" s="11" t="n">
        <v>320000</v>
      </c>
      <c r="C40" s="11" t="n">
        <v>320000</v>
      </c>
      <c r="D40" s="11" t="n">
        <v>320000</v>
      </c>
      <c r="E40" s="11" t="n">
        <v>320000</v>
      </c>
      <c r="F40" s="7" t="inlineStr">
        <is>
          <t>USD 20/bln @ Rp 16.000 flat shared subscription (Konfirmasi Bobby)</t>
        </is>
      </c>
    </row>
    <row r="41">
      <c r="A41" s="7" t="inlineStr">
        <is>
          <t>Feed Data Pasar Resmi (EODHD $20) [S]</t>
        </is>
      </c>
      <c r="B41" s="11" t="n">
        <v>0</v>
      </c>
      <c r="C41" s="11" t="n">
        <v>0</v>
      </c>
      <c r="D41" s="11" t="n">
        <v>320000</v>
      </c>
      <c r="E41" s="11" t="n">
        <v>320000</v>
      </c>
      <c r="F41" s="7" t="inlineStr">
        <is>
          <t>&gt;= 50 Subs atau M4+: Feed resmi komersial EODHD</t>
        </is>
      </c>
    </row>
    <row r="42">
      <c r="A42" s="7" t="inlineStr">
        <is>
          <t>Database &amp; Autentikasi (SQLite + Litestream / Neon Phase 1) [S]</t>
        </is>
      </c>
      <c r="B42" s="11" t="n">
        <v>0</v>
      </c>
      <c r="C42" s="11" t="n">
        <v>0</v>
      </c>
      <c r="D42" s="11" t="n">
        <v>0</v>
      </c>
      <c r="E42" s="11" t="n">
        <v>0</v>
      </c>
      <c r="F42" s="7" t="inlineStr">
        <is>
          <t>Phase 0: SQLite (WAL) + Litestream di VPS (Rp 0). Phase 1: Neon Free Tier / Dedicated VPS. Garis Supabase Pro ($25/bln) didrop total per Jim D3.</t>
        </is>
      </c>
    </row>
    <row r="43">
      <c r="A43" s="12" t="inlineStr">
        <is>
          <t>TOTAL BEBAN OPERASIONAL TETAP (OPEX) [S]</t>
        </is>
      </c>
      <c r="B43" s="14">
        <f>B39+SUM(B40:B42)</f>
        <v/>
      </c>
      <c r="C43" s="14">
        <f>C39+SUM(C40:C42)</f>
        <v/>
      </c>
      <c r="D43" s="14">
        <f>D39+SUM(D40:D42)</f>
        <v/>
      </c>
      <c r="E43" s="14">
        <f>E39+SUM(E40:E42)</f>
        <v/>
      </c>
      <c r="F43" s="15" t="inlineStr">
        <is>
          <t>Fase 0: Rp 390k; Fase 1: Rp 710k; Fase 2: Rp 1,03M; Fase 3: Rp 1,03M (Supabase didrop)</t>
        </is>
      </c>
    </row>
    <row r="45" ht="20" customHeight="1">
      <c r="A45" s="3" t="inlineStr">
        <is>
          <t>5. PARAMETER PAYMENT GATEWAY (XENDIT QRIS-FIRST) &amp; PERPAJAKAN PP 55/2022</t>
        </is>
      </c>
      <c r="B45" s="29" t="n"/>
      <c r="C45" s="29" t="n"/>
      <c r="D45" s="29" t="n"/>
      <c r="E45" s="29" t="n"/>
      <c r="F45" s="30" t="n"/>
    </row>
    <row r="46">
      <c r="A46" s="7" t="inlineStr">
        <is>
          <t>Biaya QRIS (Bank Indonesia MDR) [S]</t>
        </is>
      </c>
      <c r="B46" s="20" t="n">
        <v>0.007</v>
      </c>
      <c r="C46" s="10" t="inlineStr">
        <is>
          <t>0,70% MDR</t>
        </is>
      </c>
      <c r="D46" s="7" t="inlineStr">
        <is>
          <t>Metode utama di checkout; fee termurah dan adopsi universal</t>
        </is>
      </c>
      <c r="E46" s="4" t="n"/>
      <c r="F46" s="4" t="n"/>
    </row>
    <row r="47">
      <c r="A47" s="7" t="inlineStr">
        <is>
          <t>Biaya E-Wallet Langsung (GoPay/Shopee) [S]</t>
        </is>
      </c>
      <c r="B47" s="20" t="n">
        <v>0.018</v>
      </c>
      <c r="C47" s="10" t="inlineStr">
        <is>
          <t>1,80% MDR</t>
        </is>
      </c>
      <c r="D47" s="7" t="inlineStr">
        <is>
          <t>Opsi sekunder di mobile</t>
        </is>
      </c>
      <c r="E47" s="4" t="n"/>
      <c r="F47" s="4" t="n"/>
    </row>
    <row r="48">
      <c r="A48" s="7" t="inlineStr">
        <is>
          <t>Biaya Virtual Account (BCA/Mandiri/BRI) [S]</t>
        </is>
      </c>
      <c r="B48" s="8" t="n">
        <v>4500</v>
      </c>
      <c r="C48" s="10" t="inlineStr">
        <is>
          <t>IDR flat</t>
        </is>
      </c>
      <c r="D48" s="7" t="inlineStr">
        <is>
          <t>Fee 23,7% pd Rp 19k! Nonaktifkan utk bulanan; buka hanya utk 12M</t>
        </is>
      </c>
      <c r="E48" s="4" t="n"/>
      <c r="F48" s="4" t="n"/>
    </row>
    <row r="49">
      <c r="A49" s="7" t="inlineStr">
        <is>
          <t>Fee Blended Tertimbang Model One-Time Pass [A]</t>
        </is>
      </c>
      <c r="B49" s="20" t="n">
        <v>0.018</v>
      </c>
      <c r="C49" s="10" t="inlineStr">
        <is>
          <t>1,80% Blended</t>
        </is>
      </c>
      <c r="D49" s="7" t="inlineStr">
        <is>
          <t>Dengan QRIS 75%, EW 15%, VA 5%, CC 5%</t>
        </is>
      </c>
      <c r="E49" s="4" t="n"/>
      <c r="F49" s="4" t="n"/>
    </row>
    <row r="50">
      <c r="A50" s="7" t="inlineStr">
        <is>
          <t>Cadangan Pengembalian / Refunds (1,0%) [A]</t>
        </is>
      </c>
      <c r="B50" s="20" t="n">
        <v>0.01</v>
      </c>
      <c r="C50" s="10" t="inlineStr">
        <is>
          <t>1,0% Bruto</t>
        </is>
      </c>
      <c r="D50" s="7" t="inlineStr">
        <is>
          <t>Standar manajemen risiko komplain digital</t>
        </is>
      </c>
      <c r="E50" s="4" t="n"/>
      <c r="F50" s="4" t="n"/>
    </row>
    <row r="51">
      <c r="A51" s="7" t="inlineStr">
        <is>
          <t>Biaya Settlement / Disbursement Gateway [S]</t>
        </is>
      </c>
      <c r="B51" s="8" t="n">
        <v>5000</v>
      </c>
      <c r="C51" s="10" t="inlineStr">
        <is>
          <t>IDR / transfer</t>
        </is>
      </c>
      <c r="D51" s="7" t="inlineStr">
        <is>
          <t>Tarif resmi Xendit: Rp 5.000 flat per transfer ke rekening BCA (4x/bln = Rp 20k)</t>
        </is>
      </c>
      <c r="E51" s="4" t="n"/>
      <c r="F51" s="4" t="n"/>
    </row>
    <row r="52">
      <c r="A52" s="7" t="inlineStr">
        <is>
          <t>Status Pajak Pertambahan Nilai (PPN 11%) [S]</t>
        </is>
      </c>
      <c r="B52" s="7" t="inlineStr">
        <is>
          <t>NON-PKP</t>
        </is>
      </c>
      <c r="C52" s="10" t="inlineStr">
        <is>
          <t>Nol PPN</t>
        </is>
      </c>
      <c r="D52" s="7" t="inlineStr">
        <is>
          <t>UU HPP No. 7/2021: Omzet &lt; Rp 4,8 Miliar/thn NON-PKP. Nol PPN, harga nett</t>
        </is>
      </c>
      <c r="E52" s="4" t="n"/>
      <c r="F52" s="4" t="n"/>
    </row>
    <row r="53">
      <c r="A53" s="7" t="inlineStr">
        <is>
          <t>Status PPh Final UMKM PP No. 55/2022 [S]</t>
        </is>
      </c>
      <c r="B53" s="7" t="inlineStr">
        <is>
          <t>Wajib Pajak Orang Pribadi (WPOP)</t>
        </is>
      </c>
      <c r="C53" s="10" t="inlineStr">
        <is>
          <t>Bebas s.d. Rp 500M</t>
        </is>
      </c>
      <c r="D53" s="7" t="inlineStr">
        <is>
          <t>Pasal 69 PP 55/2022: Omzet s.d. Rp 500 Juta/thn bebas PPh 0%</t>
        </is>
      </c>
      <c r="E53" s="4" t="n"/>
      <c r="F53" s="4" t="n"/>
    </row>
  </sheetData>
  <mergeCells count="5">
    <mergeCell ref="A14:F14"/>
    <mergeCell ref="A45:F45"/>
    <mergeCell ref="A22:F22"/>
    <mergeCell ref="A34:F34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61" customWidth="1" min="2" max="2"/>
    <col width="61" customWidth="1" min="3" max="3"/>
    <col width="61" customWidth="1" min="4" max="4"/>
    <col width="61" customWidth="1" min="5" max="5"/>
    <col width="61" customWidth="1" min="6" max="6"/>
    <col width="61" customWidth="1" min="7" max="7"/>
    <col width="61" customWidth="1" min="8" max="8"/>
    <col width="61" customWidth="1" min="9" max="9"/>
    <col width="61" customWidth="1" min="10" max="10"/>
    <col width="61" customWidth="1" min="11" max="11"/>
    <col width="61" customWidth="1" min="12" max="12"/>
    <col width="61" customWidth="1" min="13" max="13"/>
    <col width="16" customWidth="1" min="14" max="14"/>
    <col width="45" customWidth="1" min="15" max="15"/>
  </cols>
  <sheetData>
    <row r="1">
      <c r="A1" s="1" t="inlineStr">
        <is>
          <t>IHSG STORM — MODEL KEUANGAN 12 BULAN (SKENARIO 1: PESIMIS / COLD-START)</t>
        </is>
      </c>
    </row>
    <row r="2">
      <c r="A2" s="2" t="inlineStr">
        <is>
          <t>Dinamika Bulanan: One-Time Pass, Perpanjangan Manual, Jalur Upgrade, Akun Comp, OpEx Phase 0 VPS (Drop Supabase) &amp; Kas (v3.1) | Oscar</t>
        </is>
      </c>
    </row>
    <row r="4" ht="25" customHeight="1">
      <c r="A4" s="21" t="inlineStr">
        <is>
          <t>Metrik / Pos Keuangan</t>
        </is>
      </c>
      <c r="B4" s="21" t="inlineStr">
        <is>
          <t>M1 (Nov)</t>
        </is>
      </c>
      <c r="C4" s="21" t="inlineStr">
        <is>
          <t>M2 (Des)</t>
        </is>
      </c>
      <c r="D4" s="21" t="inlineStr">
        <is>
          <t>M3 (Jan)</t>
        </is>
      </c>
      <c r="E4" s="21" t="inlineStr">
        <is>
          <t>M4 (Feb)</t>
        </is>
      </c>
      <c r="F4" s="21" t="inlineStr">
        <is>
          <t>M5 (Mar)</t>
        </is>
      </c>
      <c r="G4" s="21" t="inlineStr">
        <is>
          <t>M6 (Apr)</t>
        </is>
      </c>
      <c r="H4" s="21" t="inlineStr">
        <is>
          <t>M7 (Mei)</t>
        </is>
      </c>
      <c r="I4" s="21" t="inlineStr">
        <is>
          <t>M8 (Jun)</t>
        </is>
      </c>
      <c r="J4" s="21" t="inlineStr">
        <is>
          <t>M9 (Jul)</t>
        </is>
      </c>
      <c r="K4" s="21" t="inlineStr">
        <is>
          <t>M10 (Agu)</t>
        </is>
      </c>
      <c r="L4" s="21" t="inlineStr">
        <is>
          <t>M11 (Sep)</t>
        </is>
      </c>
      <c r="M4" s="21" t="inlineStr">
        <is>
          <t>M12 (Okt)</t>
        </is>
      </c>
      <c r="N4" s="21" t="inlineStr">
        <is>
          <t>Total 12 Bulan</t>
        </is>
      </c>
      <c r="O4" s="21" t="inlineStr">
        <is>
          <t>Keterangan &amp; Formula</t>
        </is>
      </c>
    </row>
    <row r="5" ht="20" customHeight="1">
      <c r="A5" s="3" t="inlineStr">
        <is>
          <t>I. TRAFIK &amp; FUNNEL AKUISISI PENGGUNA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n"/>
    </row>
    <row r="6">
      <c r="A6" s="7" t="inlineStr">
        <is>
          <t>Pengunjung Unik Bulanan [A]</t>
        </is>
      </c>
      <c r="B6" s="22" t="n">
        <v>400</v>
      </c>
      <c r="C6" s="22" t="n">
        <v>650</v>
      </c>
      <c r="D6" s="22" t="n">
        <v>1000</v>
      </c>
      <c r="E6" s="22" t="n">
        <v>1500</v>
      </c>
      <c r="F6" s="22" t="n">
        <v>2100</v>
      </c>
      <c r="G6" s="22" t="n">
        <v>2800</v>
      </c>
      <c r="H6" s="22" t="n">
        <v>3500</v>
      </c>
      <c r="I6" s="22" t="n">
        <v>4100</v>
      </c>
      <c r="J6" s="22" t="n">
        <v>4500</v>
      </c>
      <c r="K6" s="22" t="n">
        <v>4750</v>
      </c>
      <c r="L6" s="22" t="n">
        <v>4900</v>
      </c>
      <c r="M6" s="22" t="n">
        <v>5000</v>
      </c>
      <c r="N6" s="22">
        <f>SUM(B6:M6)</f>
        <v/>
      </c>
      <c r="O6" s="4" t="inlineStr">
        <is>
          <t>Proyeksi trafik web unik bulanan</t>
        </is>
      </c>
    </row>
    <row r="7">
      <c r="A7" s="7" t="inlineStr">
        <is>
          <t>Rasio Registrasi Akun Gratis (%) [A]</t>
        </is>
      </c>
      <c r="B7" s="23" t="n">
        <v>0.15</v>
      </c>
      <c r="C7" s="23" t="n">
        <v>0.15</v>
      </c>
      <c r="D7" s="23" t="n">
        <v>0.15</v>
      </c>
      <c r="E7" s="23" t="n">
        <v>0.15</v>
      </c>
      <c r="F7" s="23" t="n">
        <v>0.15</v>
      </c>
      <c r="G7" s="23" t="n">
        <v>0.15</v>
      </c>
      <c r="H7" s="23" t="n">
        <v>0.15</v>
      </c>
      <c r="I7" s="23" t="n">
        <v>0.15</v>
      </c>
      <c r="J7" s="23" t="n">
        <v>0.15</v>
      </c>
      <c r="K7" s="23" t="n">
        <v>0.15</v>
      </c>
      <c r="L7" s="23" t="n">
        <v>0.15</v>
      </c>
      <c r="M7" s="23" t="n">
        <v>0.15</v>
      </c>
      <c r="N7" s="23">
        <f>AVERAGE(B7:M7)</f>
        <v/>
      </c>
      <c r="O7" s="4" t="inlineStr">
        <is>
          <t>Persentase pengunjung yang mendaftar gratis</t>
        </is>
      </c>
    </row>
    <row r="8">
      <c r="A8" s="7" t="inlineStr">
        <is>
          <t>Pendaftaran Akun Gratis Baru (MoM) [A]</t>
        </is>
      </c>
      <c r="B8" s="22">
        <f>B6*B7</f>
        <v/>
      </c>
      <c r="C8" s="22">
        <f>C6*C7</f>
        <v/>
      </c>
      <c r="D8" s="22">
        <f>D6*D7</f>
        <v/>
      </c>
      <c r="E8" s="22">
        <f>E6*E7</f>
        <v/>
      </c>
      <c r="F8" s="22">
        <f>F6*F7</f>
        <v/>
      </c>
      <c r="G8" s="22">
        <f>G6*G7</f>
        <v/>
      </c>
      <c r="H8" s="22">
        <f>H6*H7</f>
        <v/>
      </c>
      <c r="I8" s="22">
        <f>I6*I7</f>
        <v/>
      </c>
      <c r="J8" s="22">
        <f>J6*J7</f>
        <v/>
      </c>
      <c r="K8" s="22">
        <f>K6*K7</f>
        <v/>
      </c>
      <c r="L8" s="22">
        <f>L6*L7</f>
        <v/>
      </c>
      <c r="M8" s="22">
        <f>M6*M7</f>
        <v/>
      </c>
      <c r="N8" s="22">
        <f>SUM(B8:M8)</f>
        <v/>
      </c>
      <c r="O8" s="4" t="inlineStr">
        <is>
          <t>Pengguna gratis baru per bulan</t>
        </is>
      </c>
    </row>
    <row r="9">
      <c r="A9" s="7" t="inlineStr">
        <is>
          <t>Akumulasi Pengguna Gratis Terdaftar [A]</t>
        </is>
      </c>
      <c r="B9" s="22">
        <f>B8</f>
        <v/>
      </c>
      <c r="C9" s="22">
        <f>B9+C8</f>
        <v/>
      </c>
      <c r="D9" s="22">
        <f>C9+D8</f>
        <v/>
      </c>
      <c r="E9" s="22">
        <f>D9+E8</f>
        <v/>
      </c>
      <c r="F9" s="22">
        <f>E9+F8</f>
        <v/>
      </c>
      <c r="G9" s="22">
        <f>F9+G8</f>
        <v/>
      </c>
      <c r="H9" s="22">
        <f>G9+H8</f>
        <v/>
      </c>
      <c r="I9" s="22">
        <f>H9+I8</f>
        <v/>
      </c>
      <c r="J9" s="22">
        <f>I9+J8</f>
        <v/>
      </c>
      <c r="K9" s="22">
        <f>J9+K8</f>
        <v/>
      </c>
      <c r="L9" s="22">
        <f>K9+L8</f>
        <v/>
      </c>
      <c r="M9" s="22">
        <f>L9+M8</f>
        <v/>
      </c>
      <c r="N9" s="22">
        <f>M9</f>
        <v/>
      </c>
      <c r="O9" s="4" t="inlineStr">
        <is>
          <t>Total basis akun gratis kumulatif</t>
        </is>
      </c>
    </row>
    <row r="10">
      <c r="A10" s="7" t="inlineStr">
        <is>
          <t>Tingkat Konversi Akun Baru ke Berbayar (%) [A]</t>
        </is>
      </c>
      <c r="B10" s="23" t="n">
        <v>0.01</v>
      </c>
      <c r="C10" s="23" t="n">
        <v>0.01</v>
      </c>
      <c r="D10" s="23" t="n">
        <v>0.01</v>
      </c>
      <c r="E10" s="23" t="n">
        <v>0.01</v>
      </c>
      <c r="F10" s="23" t="n">
        <v>0.01</v>
      </c>
      <c r="G10" s="23" t="n">
        <v>0.01</v>
      </c>
      <c r="H10" s="23" t="n">
        <v>0.01</v>
      </c>
      <c r="I10" s="23" t="n">
        <v>0.01</v>
      </c>
      <c r="J10" s="23" t="n">
        <v>0.01</v>
      </c>
      <c r="K10" s="23" t="n">
        <v>0.01</v>
      </c>
      <c r="L10" s="23" t="n">
        <v>0.01</v>
      </c>
      <c r="M10" s="23" t="n">
        <v>0.01</v>
      </c>
      <c r="N10" s="23">
        <f>AVERAGE(B10:M10)</f>
        <v/>
      </c>
      <c r="O10" s="4" t="inlineStr">
        <is>
          <t>Persentase akun baru yang membeli pass berbayar</t>
        </is>
      </c>
    </row>
    <row r="11">
      <c r="A11" s="6" t="inlineStr">
        <is>
          <t>Pelanggan Pembeli Pass Baru Total (Cohort) [A]</t>
        </is>
      </c>
      <c r="B11" s="8">
        <f>B8*B10</f>
        <v/>
      </c>
      <c r="C11" s="8">
        <f>C8*C10</f>
        <v/>
      </c>
      <c r="D11" s="8">
        <f>D8*D10</f>
        <v/>
      </c>
      <c r="E11" s="8">
        <f>E8*E10</f>
        <v/>
      </c>
      <c r="F11" s="8">
        <f>F8*F10</f>
        <v/>
      </c>
      <c r="G11" s="8">
        <f>G8*G10</f>
        <v/>
      </c>
      <c r="H11" s="8">
        <f>H8*H10</f>
        <v/>
      </c>
      <c r="I11" s="8">
        <f>I8*I10</f>
        <v/>
      </c>
      <c r="J11" s="8">
        <f>J8*J10</f>
        <v/>
      </c>
      <c r="K11" s="8">
        <f>K8*K10</f>
        <v/>
      </c>
      <c r="L11" s="8">
        <f>L8*L10</f>
        <v/>
      </c>
      <c r="M11" s="8">
        <f>M8*M10</f>
        <v/>
      </c>
      <c r="N11" s="8">
        <f>SUM(B11:M11)</f>
        <v/>
      </c>
      <c r="O11" s="6" t="inlineStr">
        <is>
          <t>Total pembeli baru pertama kali</t>
        </is>
      </c>
    </row>
    <row r="12">
      <c r="A12" s="7" t="inlineStr">
        <is>
          <t xml:space="preserve">  • Investor Pass 1-Bulan Baru (Rp 19k) [A]</t>
        </is>
      </c>
      <c r="B12" s="22">
        <f>B11*0.56</f>
        <v/>
      </c>
      <c r="C12" s="22">
        <f>C11*0.56</f>
        <v/>
      </c>
      <c r="D12" s="22">
        <f>D11*0.56</f>
        <v/>
      </c>
      <c r="E12" s="22">
        <f>E11*0.56</f>
        <v/>
      </c>
      <c r="F12" s="22">
        <f>F11*0.56</f>
        <v/>
      </c>
      <c r="G12" s="22">
        <f>G11*0.56</f>
        <v/>
      </c>
      <c r="H12" s="22">
        <f>H11*0.56</f>
        <v/>
      </c>
      <c r="I12" s="22">
        <f>I11*0.56</f>
        <v/>
      </c>
      <c r="J12" s="22">
        <f>J11*0.56</f>
        <v/>
      </c>
      <c r="K12" s="22">
        <f>K11*0.56</f>
        <v/>
      </c>
      <c r="L12" s="22">
        <f>L11*0.56</f>
        <v/>
      </c>
      <c r="M12" s="22">
        <f>M11*0.56</f>
        <v/>
      </c>
      <c r="N12" s="22">
        <f>SUM(B12:M12)</f>
        <v/>
      </c>
      <c r="O12" s="4" t="inlineStr">
        <is>
          <t>56% dari pembeli baru memilih Investor 1M</t>
        </is>
      </c>
    </row>
    <row r="13">
      <c r="A13" s="7" t="inlineStr">
        <is>
          <t xml:space="preserve">  • Investor Pass 12-Bulan Baru (Rp 190k) [A]</t>
        </is>
      </c>
      <c r="B13" s="22">
        <f>B11*0.14</f>
        <v/>
      </c>
      <c r="C13" s="22">
        <f>C11*0.14</f>
        <v/>
      </c>
      <c r="D13" s="22">
        <f>D11*0.14</f>
        <v/>
      </c>
      <c r="E13" s="22">
        <f>E11*0.14</f>
        <v/>
      </c>
      <c r="F13" s="22">
        <f>F11*0.14</f>
        <v/>
      </c>
      <c r="G13" s="22">
        <f>G11*0.14</f>
        <v/>
      </c>
      <c r="H13" s="22">
        <f>H11*0.14</f>
        <v/>
      </c>
      <c r="I13" s="22">
        <f>I11*0.14</f>
        <v/>
      </c>
      <c r="J13" s="22">
        <f>J11*0.14</f>
        <v/>
      </c>
      <c r="K13" s="22">
        <f>K11*0.14</f>
        <v/>
      </c>
      <c r="L13" s="22">
        <f>L11*0.14</f>
        <v/>
      </c>
      <c r="M13" s="22">
        <f>M11*0.14</f>
        <v/>
      </c>
      <c r="N13" s="22">
        <f>SUM(B13:M13)</f>
        <v/>
      </c>
      <c r="O13" s="4" t="inlineStr">
        <is>
          <t>14% dari pembeli baru memilih Investor 12M</t>
        </is>
      </c>
    </row>
    <row r="14">
      <c r="A14" s="7" t="inlineStr">
        <is>
          <t xml:space="preserve">  • Pakar Pass 1-Bulan Baru (Rp 49k) [A]</t>
        </is>
      </c>
      <c r="B14" s="22">
        <f>B11*0.24</f>
        <v/>
      </c>
      <c r="C14" s="22">
        <f>C11*0.24</f>
        <v/>
      </c>
      <c r="D14" s="22">
        <f>D11*0.24</f>
        <v/>
      </c>
      <c r="E14" s="22">
        <f>E11*0.24</f>
        <v/>
      </c>
      <c r="F14" s="22">
        <f>F11*0.24</f>
        <v/>
      </c>
      <c r="G14" s="22">
        <f>G11*0.24</f>
        <v/>
      </c>
      <c r="H14" s="22">
        <f>H11*0.24</f>
        <v/>
      </c>
      <c r="I14" s="22">
        <f>I11*0.24</f>
        <v/>
      </c>
      <c r="J14" s="22">
        <f>J11*0.24</f>
        <v/>
      </c>
      <c r="K14" s="22">
        <f>K11*0.24</f>
        <v/>
      </c>
      <c r="L14" s="22">
        <f>L11*0.24</f>
        <v/>
      </c>
      <c r="M14" s="22">
        <f>M11*0.24</f>
        <v/>
      </c>
      <c r="N14" s="22">
        <f>SUM(B14:M14)</f>
        <v/>
      </c>
      <c r="O14" s="4" t="inlineStr">
        <is>
          <t>24% dari pembeli baru memilih Pakar 1M</t>
        </is>
      </c>
    </row>
    <row r="15">
      <c r="A15" s="7" t="inlineStr">
        <is>
          <t xml:space="preserve">  • Pakar Pass 12-Bulan Baru (Rp 490k) [A]</t>
        </is>
      </c>
      <c r="B15" s="22">
        <f>B11*0.06</f>
        <v/>
      </c>
      <c r="C15" s="22">
        <f>C11*0.06</f>
        <v/>
      </c>
      <c r="D15" s="22">
        <f>D11*0.06</f>
        <v/>
      </c>
      <c r="E15" s="22">
        <f>E11*0.06</f>
        <v/>
      </c>
      <c r="F15" s="22">
        <f>F11*0.06</f>
        <v/>
      </c>
      <c r="G15" s="22">
        <f>G11*0.06</f>
        <v/>
      </c>
      <c r="H15" s="22">
        <f>H11*0.06</f>
        <v/>
      </c>
      <c r="I15" s="22">
        <f>I11*0.06</f>
        <v/>
      </c>
      <c r="J15" s="22">
        <f>J11*0.06</f>
        <v/>
      </c>
      <c r="K15" s="22">
        <f>K11*0.06</f>
        <v/>
      </c>
      <c r="L15" s="22">
        <f>L11*0.06</f>
        <v/>
      </c>
      <c r="M15" s="22">
        <f>M11*0.06</f>
        <v/>
      </c>
      <c r="N15" s="22">
        <f>SUM(B15:M15)</f>
        <v/>
      </c>
      <c r="O15" s="4" t="inlineStr">
        <is>
          <t>6% dari pembeli baru memilih Pakar 12M</t>
        </is>
      </c>
    </row>
    <row r="16" ht="20" customHeight="1">
      <c r="A16" s="3" t="inlineStr">
        <is>
          <t>II. PEMBELIAN ULANG PASS 1-BULAN (REPEAT PURCHASE / MANUAL RENEWAL) [A]</t>
        </is>
      </c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30" t="n"/>
    </row>
    <row r="17">
      <c r="A17" s="7" t="inlineStr">
        <is>
          <t>Tingkat Pembelian Ulang Manual (%) [A]</t>
        </is>
      </c>
      <c r="B17" s="23" t="n">
        <v>0.35</v>
      </c>
      <c r="C17" s="23" t="n">
        <v>0.35</v>
      </c>
      <c r="D17" s="23" t="n">
        <v>0.35</v>
      </c>
      <c r="E17" s="23" t="n">
        <v>0.35</v>
      </c>
      <c r="F17" s="23" t="n">
        <v>0.35</v>
      </c>
      <c r="G17" s="23" t="n">
        <v>0.35</v>
      </c>
      <c r="H17" s="23" t="n">
        <v>0.35</v>
      </c>
      <c r="I17" s="23" t="n">
        <v>0.35</v>
      </c>
      <c r="J17" s="23" t="n">
        <v>0.35</v>
      </c>
      <c r="K17" s="23" t="n">
        <v>0.35</v>
      </c>
      <c r="L17" s="23" t="n">
        <v>0.35</v>
      </c>
      <c r="M17" s="23" t="n">
        <v>0.35</v>
      </c>
      <c r="N17" s="23">
        <f>AVERAGE(B17:M17)</f>
        <v/>
      </c>
      <c r="O17" s="4" t="inlineStr">
        <is>
          <t>Persentase pembeli 1M yang manual beli lagi saat habis</t>
        </is>
      </c>
    </row>
    <row r="18">
      <c r="A18" s="7" t="inlineStr">
        <is>
          <t>Pembelian Ulang Investor Pass 1-Bulan [A]</t>
        </is>
      </c>
      <c r="B18" s="22" t="n">
        <v>0</v>
      </c>
      <c r="C18" s="22">
        <f>B27*C17</f>
        <v/>
      </c>
      <c r="D18" s="22">
        <f>C27*D17</f>
        <v/>
      </c>
      <c r="E18" s="22">
        <f>D27*E17</f>
        <v/>
      </c>
      <c r="F18" s="22">
        <f>E27*F17</f>
        <v/>
      </c>
      <c r="G18" s="22">
        <f>F27*G17</f>
        <v/>
      </c>
      <c r="H18" s="22">
        <f>G27*H17</f>
        <v/>
      </c>
      <c r="I18" s="22">
        <f>H27*I17</f>
        <v/>
      </c>
      <c r="J18" s="22">
        <f>I27*J17</f>
        <v/>
      </c>
      <c r="K18" s="22">
        <f>J27*K17</f>
        <v/>
      </c>
      <c r="L18" s="22">
        <f>K27*L17</f>
        <v/>
      </c>
      <c r="M18" s="22">
        <f>L27*M17</f>
        <v/>
      </c>
      <c r="N18" s="22">
        <f>SUM(B18:M18)</f>
        <v/>
      </c>
      <c r="O18" s="4" t="inlineStr">
        <is>
          <t>Pembeli Investor 1M bulan lalu yang beli pass baru</t>
        </is>
      </c>
    </row>
    <row r="19">
      <c r="A19" s="7" t="inlineStr">
        <is>
          <t>Pembelian Ulang Pakar Pass 1-Bulan [A]</t>
        </is>
      </c>
      <c r="B19" s="22" t="n">
        <v>0</v>
      </c>
      <c r="C19" s="22">
        <f>B29*C17</f>
        <v/>
      </c>
      <c r="D19" s="22">
        <f>C29*D17</f>
        <v/>
      </c>
      <c r="E19" s="22">
        <f>D29*E17</f>
        <v/>
      </c>
      <c r="F19" s="22">
        <f>E29*F17</f>
        <v/>
      </c>
      <c r="G19" s="22">
        <f>F29*G17</f>
        <v/>
      </c>
      <c r="H19" s="22">
        <f>G29*H17</f>
        <v/>
      </c>
      <c r="I19" s="22">
        <f>H29*I17</f>
        <v/>
      </c>
      <c r="J19" s="22">
        <f>I29*J17</f>
        <v/>
      </c>
      <c r="K19" s="22">
        <f>J29*K17</f>
        <v/>
      </c>
      <c r="L19" s="22">
        <f>K29*L17</f>
        <v/>
      </c>
      <c r="M19" s="22">
        <f>L29*M17</f>
        <v/>
      </c>
      <c r="N19" s="22">
        <f>SUM(B19:M19)</f>
        <v/>
      </c>
      <c r="O19" s="4" t="inlineStr">
        <is>
          <t>Pembeli Pakar 1M bulan lalu yang beli pass baru</t>
        </is>
      </c>
    </row>
    <row r="20" ht="20" customHeight="1">
      <c r="A20" s="3" t="inlineStr">
        <is>
          <t>III. JALUR UPGRADE TIER (INVESTOR -&gt; PAKAR) [S/A]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30" t="n"/>
    </row>
    <row r="21">
      <c r="A21" s="7" t="inlineStr">
        <is>
          <t>Tingkat Konversi Upgrade Investor ke Pakar (%) [A]</t>
        </is>
      </c>
      <c r="B21" s="23" t="n">
        <v>0.05</v>
      </c>
      <c r="C21" s="23" t="n">
        <v>0.05</v>
      </c>
      <c r="D21" s="23" t="n">
        <v>0.05</v>
      </c>
      <c r="E21" s="23" t="n">
        <v>0.05</v>
      </c>
      <c r="F21" s="23" t="n">
        <v>0.05</v>
      </c>
      <c r="G21" s="23" t="n">
        <v>0.05</v>
      </c>
      <c r="H21" s="23" t="n">
        <v>0.05</v>
      </c>
      <c r="I21" s="23" t="n">
        <v>0.05</v>
      </c>
      <c r="J21" s="23" t="n">
        <v>0.05</v>
      </c>
      <c r="K21" s="23" t="n">
        <v>0.05</v>
      </c>
      <c r="L21" s="23" t="n">
        <v>0.05</v>
      </c>
      <c r="M21" s="23" t="n">
        <v>0.05</v>
      </c>
      <c r="N21" s="23">
        <f>AVERAGE(B21:M21)</f>
        <v/>
      </c>
      <c r="O21" s="4" t="inlineStr">
        <is>
          <t>Persentase pemegang Investor yang upgrade ke Pakar</t>
        </is>
      </c>
    </row>
    <row r="22">
      <c r="A22" s="7" t="inlineStr">
        <is>
          <t>Jumlah Akun Investor 1M yang Upgrade [A]</t>
        </is>
      </c>
      <c r="B22" s="22">
        <f>(B12+B18)*B21</f>
        <v/>
      </c>
      <c r="C22" s="22">
        <f>(C12+C18)*C21</f>
        <v/>
      </c>
      <c r="D22" s="22">
        <f>(D12+D18)*D21</f>
        <v/>
      </c>
      <c r="E22" s="22">
        <f>(E12+E18)*E21</f>
        <v/>
      </c>
      <c r="F22" s="22">
        <f>(F12+F18)*F21</f>
        <v/>
      </c>
      <c r="G22" s="22">
        <f>(G12+G18)*G21</f>
        <v/>
      </c>
      <c r="H22" s="22">
        <f>(H12+H18)*H21</f>
        <v/>
      </c>
      <c r="I22" s="22">
        <f>(I12+I18)*I21</f>
        <v/>
      </c>
      <c r="J22" s="22">
        <f>(J12+J18)*J21</f>
        <v/>
      </c>
      <c r="K22" s="22">
        <f>(K12+K18)*K21</f>
        <v/>
      </c>
      <c r="L22" s="22">
        <f>(L12+L18)*L21</f>
        <v/>
      </c>
      <c r="M22" s="22">
        <f>(M12+M18)*M21</f>
        <v/>
      </c>
      <c r="N22" s="22">
        <f>SUM(B22:M22)</f>
        <v/>
      </c>
      <c r="O22" s="4" t="inlineStr">
        <is>
          <t>Akun Investor 1M yang bayar selisih Rp 30k ke Pakar</t>
        </is>
      </c>
    </row>
    <row r="23">
      <c r="A23" s="7" t="inlineStr">
        <is>
          <t>Pendapatan Kas Upgrade 1-Bulan (Rp 30k) [S]</t>
        </is>
      </c>
      <c r="B23" s="22">
        <f>B22*Model_Parameters!$B$16</f>
        <v/>
      </c>
      <c r="C23" s="22">
        <f>C22*Model_Parameters!$B$16</f>
        <v/>
      </c>
      <c r="D23" s="22">
        <f>D22*Model_Parameters!$B$16</f>
        <v/>
      </c>
      <c r="E23" s="22">
        <f>E22*Model_Parameters!$B$16</f>
        <v/>
      </c>
      <c r="F23" s="22">
        <f>F22*Model_Parameters!$B$16</f>
        <v/>
      </c>
      <c r="G23" s="22">
        <f>G22*Model_Parameters!$B$16</f>
        <v/>
      </c>
      <c r="H23" s="22">
        <f>H22*Model_Parameters!$B$16</f>
        <v/>
      </c>
      <c r="I23" s="22">
        <f>I22*Model_Parameters!$B$16</f>
        <v/>
      </c>
      <c r="J23" s="22">
        <f>J22*Model_Parameters!$B$16</f>
        <v/>
      </c>
      <c r="K23" s="22">
        <f>K22*Model_Parameters!$B$16</f>
        <v/>
      </c>
      <c r="L23" s="22">
        <f>L22*Model_Parameters!$B$16</f>
        <v/>
      </c>
      <c r="M23" s="22">
        <f>M22*Model_Parameters!$B$16</f>
        <v/>
      </c>
      <c r="N23" s="22">
        <f>SUM(B23:M23)</f>
        <v/>
      </c>
      <c r="O23" s="4" t="inlineStr">
        <is>
          <t>Kas masuk upgrade bulanan: Akun x Rp 30.000</t>
        </is>
      </c>
    </row>
    <row r="24">
      <c r="A24" s="7" t="inlineStr">
        <is>
          <t>Pendapatan Kas Upgrade 12-Bulan (Prorata Rp 225k) [A]</t>
        </is>
      </c>
      <c r="B24" s="22">
        <f>(B13*(B21*0.5))*Model_Parameters!$B$17</f>
        <v/>
      </c>
      <c r="C24" s="22">
        <f>(C13*(C21*0.5))*Model_Parameters!$B$17</f>
        <v/>
      </c>
      <c r="D24" s="22">
        <f>(D13*(D21*0.5))*Model_Parameters!$B$17</f>
        <v/>
      </c>
      <c r="E24" s="22">
        <f>(E13*(E21*0.5))*Model_Parameters!$B$17</f>
        <v/>
      </c>
      <c r="F24" s="22">
        <f>(F13*(F21*0.5))*Model_Parameters!$B$17</f>
        <v/>
      </c>
      <c r="G24" s="22">
        <f>(G13*(G21*0.5))*Model_Parameters!$B$17</f>
        <v/>
      </c>
      <c r="H24" s="22">
        <f>(H13*(H21*0.5))*Model_Parameters!$B$17</f>
        <v/>
      </c>
      <c r="I24" s="22">
        <f>(I13*(I21*0.5))*Model_Parameters!$B$17</f>
        <v/>
      </c>
      <c r="J24" s="22">
        <f>(J13*(J21*0.5))*Model_Parameters!$B$17</f>
        <v/>
      </c>
      <c r="K24" s="22">
        <f>(K13*(K21*0.5))*Model_Parameters!$B$17</f>
        <v/>
      </c>
      <c r="L24" s="22">
        <f>(L13*(L21*0.5))*Model_Parameters!$B$17</f>
        <v/>
      </c>
      <c r="M24" s="22">
        <f>(M13*(M21*0.5))*Model_Parameters!$B$17</f>
        <v/>
      </c>
      <c r="N24" s="22">
        <f>SUM(B24:M24)</f>
        <v/>
      </c>
      <c r="O24" s="4" t="inlineStr">
        <is>
          <t>Kas masuk upgrade tahunan: Prorata sisa bulan</t>
        </is>
      </c>
    </row>
    <row r="25">
      <c r="A25" s="6" t="inlineStr">
        <is>
          <t>TOTAL KAS MASUK DARI UPGRADE TIER [A]</t>
        </is>
      </c>
      <c r="B25" s="8">
        <f>B23+B24</f>
        <v/>
      </c>
      <c r="C25" s="8">
        <f>C23+C24</f>
        <v/>
      </c>
      <c r="D25" s="8">
        <f>D23+D24</f>
        <v/>
      </c>
      <c r="E25" s="8">
        <f>E23+E24</f>
        <v/>
      </c>
      <c r="F25" s="8">
        <f>F23+F24</f>
        <v/>
      </c>
      <c r="G25" s="8">
        <f>G23+G24</f>
        <v/>
      </c>
      <c r="H25" s="8">
        <f>H23+H24</f>
        <v/>
      </c>
      <c r="I25" s="8">
        <f>I23+I24</f>
        <v/>
      </c>
      <c r="J25" s="8">
        <f>J23+J24</f>
        <v/>
      </c>
      <c r="K25" s="8">
        <f>K23+K24</f>
        <v/>
      </c>
      <c r="L25" s="8">
        <f>L23+L24</f>
        <v/>
      </c>
      <c r="M25" s="8">
        <f>M23+M24</f>
        <v/>
      </c>
      <c r="N25" s="8">
        <f>SUM(B25:M25)</f>
        <v/>
      </c>
      <c r="O25" s="6" t="inlineStr">
        <is>
          <t>Total penerimaan kas dari seluruh transaksi upgrade</t>
        </is>
      </c>
    </row>
    <row r="26" ht="20" customHeight="1">
      <c r="A26" s="3" t="inlineStr">
        <is>
          <t>IV. DINAMIKA PENGGUNA AKTIF BERBAYAR KAS &amp; AKUN PROMOSI (COMP) [S/A]</t>
        </is>
      </c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30" t="n"/>
    </row>
    <row r="27">
      <c r="A27" s="7" t="inlineStr">
        <is>
          <t>Pengguna Aktif Investor Pass 1-Bulan [A]</t>
        </is>
      </c>
      <c r="B27" s="22">
        <f>(B12+B18)-B22</f>
        <v/>
      </c>
      <c r="C27" s="22">
        <f>(C12+C18)-C22</f>
        <v/>
      </c>
      <c r="D27" s="22">
        <f>(D12+D18)-D22</f>
        <v/>
      </c>
      <c r="E27" s="22">
        <f>(E12+E18)-E22</f>
        <v/>
      </c>
      <c r="F27" s="22">
        <f>(F12+F18)-F22</f>
        <v/>
      </c>
      <c r="G27" s="22">
        <f>(G12+G18)-G22</f>
        <v/>
      </c>
      <c r="H27" s="22">
        <f>(H12+H18)-H22</f>
        <v/>
      </c>
      <c r="I27" s="22">
        <f>(I12+I18)-I22</f>
        <v/>
      </c>
      <c r="J27" s="22">
        <f>(J12+J18)-J22</f>
        <v/>
      </c>
      <c r="K27" s="22">
        <f>(K12+K18)-K22</f>
        <v/>
      </c>
      <c r="L27" s="22">
        <f>(L12+L18)-L22</f>
        <v/>
      </c>
      <c r="M27" s="22">
        <f>(M12+M18)-M22</f>
        <v/>
      </c>
      <c r="N27" s="22">
        <f>M27</f>
        <v/>
      </c>
      <c r="O27" s="4" t="inlineStr">
        <is>
          <t>Investor 1M aktif (dikurangi yang pindah ke Pakar)</t>
        </is>
      </c>
    </row>
    <row r="28">
      <c r="A28" s="7" t="inlineStr">
        <is>
          <t>Pengguna Aktif Investor Pass 12-Bulan (Kumulatif 365 Hari) [A]</t>
        </is>
      </c>
      <c r="B28" s="22">
        <f>B13</f>
        <v/>
      </c>
      <c r="C28" s="22">
        <f>B28+C13</f>
        <v/>
      </c>
      <c r="D28" s="22">
        <f>C28+D13</f>
        <v/>
      </c>
      <c r="E28" s="22">
        <f>D28+E13</f>
        <v/>
      </c>
      <c r="F28" s="22">
        <f>E28+F13</f>
        <v/>
      </c>
      <c r="G28" s="22">
        <f>F28+G13</f>
        <v/>
      </c>
      <c r="H28" s="22">
        <f>G28+H13</f>
        <v/>
      </c>
      <c r="I28" s="22">
        <f>H28+I13</f>
        <v/>
      </c>
      <c r="J28" s="22">
        <f>I28+J13</f>
        <v/>
      </c>
      <c r="K28" s="22">
        <f>J28+K13</f>
        <v/>
      </c>
      <c r="L28" s="22">
        <f>K28+L13</f>
        <v/>
      </c>
      <c r="M28" s="22">
        <f>L28+M13</f>
        <v/>
      </c>
      <c r="N28" s="22">
        <f>M28</f>
        <v/>
      </c>
      <c r="O28" s="4" t="inlineStr">
        <is>
          <t>Investor 12M aktif (tidak ada churn di Tahun ke-1)</t>
        </is>
      </c>
    </row>
    <row r="29">
      <c r="A29" s="7" t="inlineStr">
        <is>
          <t>Pengguna Aktif Pakar Pass 1-Bulan [A]</t>
        </is>
      </c>
      <c r="B29" s="22">
        <f>(B14+B19)+B22</f>
        <v/>
      </c>
      <c r="C29" s="22">
        <f>(C14+C19)+C22</f>
        <v/>
      </c>
      <c r="D29" s="22">
        <f>(D14+D19)+D22</f>
        <v/>
      </c>
      <c r="E29" s="22">
        <f>(E14+E19)+E22</f>
        <v/>
      </c>
      <c r="F29" s="22">
        <f>(F14+F19)+F22</f>
        <v/>
      </c>
      <c r="G29" s="22">
        <f>(G14+G19)+G22</f>
        <v/>
      </c>
      <c r="H29" s="22">
        <f>(H14+H19)+H22</f>
        <v/>
      </c>
      <c r="I29" s="22">
        <f>(I14+I19)+I22</f>
        <v/>
      </c>
      <c r="J29" s="22">
        <f>(J14+J19)+J22</f>
        <v/>
      </c>
      <c r="K29" s="22">
        <f>(K14+K19)+K22</f>
        <v/>
      </c>
      <c r="L29" s="22">
        <f>(L14+L19)+L22</f>
        <v/>
      </c>
      <c r="M29" s="22">
        <f>(M14+M19)+M22</f>
        <v/>
      </c>
      <c r="N29" s="22">
        <f>M29</f>
        <v/>
      </c>
      <c r="O29" s="4" t="inlineStr">
        <is>
          <t>Pakar 1M aktif (termasuk limpahan upgrade)</t>
        </is>
      </c>
    </row>
    <row r="30">
      <c r="A30" s="7" t="inlineStr">
        <is>
          <t>Pengguna Aktif Pakar Pass 12-Bulan (Kumulatif 365 Hari) [A]</t>
        </is>
      </c>
      <c r="B30" s="22">
        <f>B15</f>
        <v/>
      </c>
      <c r="C30" s="22">
        <f>B30+C15</f>
        <v/>
      </c>
      <c r="D30" s="22">
        <f>C30+D15</f>
        <v/>
      </c>
      <c r="E30" s="22">
        <f>D30+E15</f>
        <v/>
      </c>
      <c r="F30" s="22">
        <f>E30+F15</f>
        <v/>
      </c>
      <c r="G30" s="22">
        <f>F30+G15</f>
        <v/>
      </c>
      <c r="H30" s="22">
        <f>G30+H15</f>
        <v/>
      </c>
      <c r="I30" s="22">
        <f>H30+I15</f>
        <v/>
      </c>
      <c r="J30" s="22">
        <f>I30+J15</f>
        <v/>
      </c>
      <c r="K30" s="22">
        <f>J30+K15</f>
        <v/>
      </c>
      <c r="L30" s="22">
        <f>K30+L15</f>
        <v/>
      </c>
      <c r="M30" s="22">
        <f>L30+M15</f>
        <v/>
      </c>
      <c r="N30" s="22">
        <f>M30</f>
        <v/>
      </c>
      <c r="O30" s="4" t="inlineStr">
        <is>
          <t>Pakar 12M aktif (tidak ada churn di Tahun ke-1)</t>
        </is>
      </c>
    </row>
    <row r="31">
      <c r="A31" s="6" t="inlineStr">
        <is>
          <t>TOTAL PENGGUNA AKTIF BERBAYAR KAS [A]</t>
        </is>
      </c>
      <c r="B31" s="8">
        <f>SUM(B27:B30)</f>
        <v/>
      </c>
      <c r="C31" s="8">
        <f>SUM(C27:C30)</f>
        <v/>
      </c>
      <c r="D31" s="8">
        <f>SUM(D27:D30)</f>
        <v/>
      </c>
      <c r="E31" s="8">
        <f>SUM(E27:E30)</f>
        <v/>
      </c>
      <c r="F31" s="8">
        <f>SUM(F27:F30)</f>
        <v/>
      </c>
      <c r="G31" s="8">
        <f>SUM(G27:G30)</f>
        <v/>
      </c>
      <c r="H31" s="8">
        <f>SUM(H27:H30)</f>
        <v/>
      </c>
      <c r="I31" s="8">
        <f>SUM(I27:I30)</f>
        <v/>
      </c>
      <c r="J31" s="8">
        <f>SUM(J27:J30)</f>
        <v/>
      </c>
      <c r="K31" s="8">
        <f>SUM(K27:K30)</f>
        <v/>
      </c>
      <c r="L31" s="8">
        <f>SUM(L27:L30)</f>
        <v/>
      </c>
      <c r="M31" s="8">
        <f>SUM(M27:M30)</f>
        <v/>
      </c>
      <c r="N31" s="8">
        <f>M31</f>
        <v/>
      </c>
      <c r="O31" s="6" t="inlineStr">
        <is>
          <t>Pengguna berbayar riil yang memiliki pass aktif</t>
        </is>
      </c>
    </row>
    <row r="32">
      <c r="A32" s="7" t="inlineStr">
        <is>
          <t>Marketing Comp Accounts (Pakar Gratis) [S]</t>
        </is>
      </c>
      <c r="B32" s="22">
        <f>Model_Parameters!$B$23</f>
        <v/>
      </c>
      <c r="C32" s="22">
        <f>Model_Parameters!$B$23</f>
        <v/>
      </c>
      <c r="D32" s="22">
        <f>Model_Parameters!$B$23</f>
        <v/>
      </c>
      <c r="E32" s="22">
        <f>Model_Parameters!$B$23</f>
        <v/>
      </c>
      <c r="F32" s="22">
        <f>Model_Parameters!$B$23</f>
        <v/>
      </c>
      <c r="G32" s="22">
        <f>Model_Parameters!$B$23</f>
        <v/>
      </c>
      <c r="H32" s="22">
        <f>Model_Parameters!$B$23</f>
        <v/>
      </c>
      <c r="I32" s="22">
        <f>Model_Parameters!$B$23</f>
        <v/>
      </c>
      <c r="J32" s="22">
        <f>Model_Parameters!$B$23</f>
        <v/>
      </c>
      <c r="K32" s="22">
        <f>Model_Parameters!$B$23</f>
        <v/>
      </c>
      <c r="L32" s="22">
        <f>Model_Parameters!$B$23</f>
        <v/>
      </c>
      <c r="M32" s="22">
        <f>Model_Parameters!$B$23</f>
        <v/>
      </c>
      <c r="N32" s="22">
        <f>M32</f>
        <v/>
      </c>
      <c r="O32" s="4" t="inlineStr">
        <is>
          <t>5 akun Pakar promosi gratis (Influencer/Komunitas)</t>
        </is>
      </c>
    </row>
    <row r="33">
      <c r="A33" s="6" t="inlineStr">
        <is>
          <t>TOTAL AKUN AKTIF MENIKMATI AKSES [A]</t>
        </is>
      </c>
      <c r="B33" s="8">
        <f>B31+B32</f>
        <v/>
      </c>
      <c r="C33" s="8">
        <f>C31+C32</f>
        <v/>
      </c>
      <c r="D33" s="8">
        <f>D31+D32</f>
        <v/>
      </c>
      <c r="E33" s="8">
        <f>E31+E32</f>
        <v/>
      </c>
      <c r="F33" s="8">
        <f>F31+F32</f>
        <v/>
      </c>
      <c r="G33" s="8">
        <f>G31+G32</f>
        <v/>
      </c>
      <c r="H33" s="8">
        <f>H31+H32</f>
        <v/>
      </c>
      <c r="I33" s="8">
        <f>I31+I32</f>
        <v/>
      </c>
      <c r="J33" s="8">
        <f>J31+J32</f>
        <v/>
      </c>
      <c r="K33" s="8">
        <f>K31+K32</f>
        <v/>
      </c>
      <c r="L33" s="8">
        <f>L31+L32</f>
        <v/>
      </c>
      <c r="M33" s="8">
        <f>M31+M32</f>
        <v/>
      </c>
      <c r="N33" s="8">
        <f>M33</f>
        <v/>
      </c>
      <c r="O33" s="6" t="inlineStr">
        <is>
          <t>Total akun aktif (Berbayar riil + 5 Akun Comp)</t>
        </is>
      </c>
    </row>
    <row r="34">
      <c r="A34" s="24" t="inlineStr">
        <is>
          <t>Pemicu Migrasi VPS Fase 0 (&lt;5 Paying Users) [S]</t>
        </is>
      </c>
      <c r="B34" s="25">
        <f>B31</f>
        <v/>
      </c>
      <c r="C34" s="25">
        <f>C31</f>
        <v/>
      </c>
      <c r="D34" s="25">
        <f>D31</f>
        <v/>
      </c>
      <c r="E34" s="25">
        <f>E31</f>
        <v/>
      </c>
      <c r="F34" s="25">
        <f>F31</f>
        <v/>
      </c>
      <c r="G34" s="25">
        <f>G31</f>
        <v/>
      </c>
      <c r="H34" s="25">
        <f>H31</f>
        <v/>
      </c>
      <c r="I34" s="25">
        <f>I31</f>
        <v/>
      </c>
      <c r="J34" s="25">
        <f>J31</f>
        <v/>
      </c>
      <c r="K34" s="25">
        <f>K31</f>
        <v/>
      </c>
      <c r="L34" s="25">
        <f>L31</f>
        <v/>
      </c>
      <c r="M34" s="25">
        <f>M31</f>
        <v/>
      </c>
      <c r="N34" s="25">
        <f>M34</f>
        <v/>
      </c>
      <c r="O34" s="24" t="inlineStr">
        <is>
          <t>AUDIT: Comp Accounts TIDAK DIHITUNG! Hanya kas &gt; Rp 0</t>
        </is>
      </c>
    </row>
    <row r="35" ht="20" customHeight="1">
      <c r="A35" s="3" t="inlineStr">
        <is>
          <t>V. PENERIMAAN KAS BRUTO (IDR) [S/A]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30" t="n"/>
    </row>
    <row r="36">
      <c r="A36" s="7" t="inlineStr">
        <is>
          <t>Penerimaan Investor Pass 1-Bulan (Rp 19k) [S]</t>
        </is>
      </c>
      <c r="B36" s="22">
        <f>(B12+B18)*Model_Parameters!$B$7</f>
        <v/>
      </c>
      <c r="C36" s="22">
        <f>(C12+C18)*Model_Parameters!$B$7</f>
        <v/>
      </c>
      <c r="D36" s="22">
        <f>(D12+D18)*Model_Parameters!$B$7</f>
        <v/>
      </c>
      <c r="E36" s="22">
        <f>(E12+E18)*Model_Parameters!$B$7</f>
        <v/>
      </c>
      <c r="F36" s="22">
        <f>(F12+F18)*Model_Parameters!$B$7</f>
        <v/>
      </c>
      <c r="G36" s="22">
        <f>(G12+G18)*Model_Parameters!$B$7</f>
        <v/>
      </c>
      <c r="H36" s="22">
        <f>(H12+H18)*Model_Parameters!$B$7</f>
        <v/>
      </c>
      <c r="I36" s="22">
        <f>(I12+I18)*Model_Parameters!$B$7</f>
        <v/>
      </c>
      <c r="J36" s="22">
        <f>(J12+J18)*Model_Parameters!$B$7</f>
        <v/>
      </c>
      <c r="K36" s="22">
        <f>(K12+K18)*Model_Parameters!$B$7</f>
        <v/>
      </c>
      <c r="L36" s="22">
        <f>(L12+L18)*Model_Parameters!$B$7</f>
        <v/>
      </c>
      <c r="M36" s="22">
        <f>(M12+M18)*Model_Parameters!$B$7</f>
        <v/>
      </c>
      <c r="N36" s="22">
        <f>SUM(B36:M36)</f>
        <v/>
      </c>
      <c r="O36" s="4" t="inlineStr">
        <is>
          <t>Penjualan baru + perpanjangan manual Investor 1M</t>
        </is>
      </c>
    </row>
    <row r="37">
      <c r="A37" s="7" t="inlineStr">
        <is>
          <t>Penerimaan Investor Pass 12-Bulan (Rp 190k) [S]</t>
        </is>
      </c>
      <c r="B37" s="22">
        <f>B13*Model_Parameters!$B$8</f>
        <v/>
      </c>
      <c r="C37" s="22">
        <f>C13*Model_Parameters!$B$8</f>
        <v/>
      </c>
      <c r="D37" s="22">
        <f>D13*Model_Parameters!$B$8</f>
        <v/>
      </c>
      <c r="E37" s="22">
        <f>E13*Model_Parameters!$B$8</f>
        <v/>
      </c>
      <c r="F37" s="22">
        <f>F13*Model_Parameters!$B$8</f>
        <v/>
      </c>
      <c r="G37" s="22">
        <f>G13*Model_Parameters!$B$8</f>
        <v/>
      </c>
      <c r="H37" s="22">
        <f>H13*Model_Parameters!$B$8</f>
        <v/>
      </c>
      <c r="I37" s="22">
        <f>I13*Model_Parameters!$B$8</f>
        <v/>
      </c>
      <c r="J37" s="22">
        <f>J13*Model_Parameters!$B$8</f>
        <v/>
      </c>
      <c r="K37" s="22">
        <f>K13*Model_Parameters!$B$8</f>
        <v/>
      </c>
      <c r="L37" s="22">
        <f>L13*Model_Parameters!$B$8</f>
        <v/>
      </c>
      <c r="M37" s="22">
        <f>M13*Model_Parameters!$B$8</f>
        <v/>
      </c>
      <c r="N37" s="22">
        <f>SUM(B37:M37)</f>
        <v/>
      </c>
      <c r="O37" s="4" t="inlineStr">
        <is>
          <t>Penjualan Investor 12M di muka</t>
        </is>
      </c>
    </row>
    <row r="38">
      <c r="A38" s="7" t="inlineStr">
        <is>
          <t>Penerimaan Pakar Pass 1-Bulan (Rp 49k) [S]</t>
        </is>
      </c>
      <c r="B38" s="22">
        <f>(B14+B19)*Model_Parameters!$B$9</f>
        <v/>
      </c>
      <c r="C38" s="22">
        <f>(C14+C19)*Model_Parameters!$B$9</f>
        <v/>
      </c>
      <c r="D38" s="22">
        <f>(D14+D19)*Model_Parameters!$B$9</f>
        <v/>
      </c>
      <c r="E38" s="22">
        <f>(E14+E19)*Model_Parameters!$B$9</f>
        <v/>
      </c>
      <c r="F38" s="22">
        <f>(F14+F19)*Model_Parameters!$B$9</f>
        <v/>
      </c>
      <c r="G38" s="22">
        <f>(G14+G19)*Model_Parameters!$B$9</f>
        <v/>
      </c>
      <c r="H38" s="22">
        <f>(H14+H19)*Model_Parameters!$B$9</f>
        <v/>
      </c>
      <c r="I38" s="22">
        <f>(I14+I19)*Model_Parameters!$B$9</f>
        <v/>
      </c>
      <c r="J38" s="22">
        <f>(J14+J19)*Model_Parameters!$B$9</f>
        <v/>
      </c>
      <c r="K38" s="22">
        <f>(K14+K19)*Model_Parameters!$B$9</f>
        <v/>
      </c>
      <c r="L38" s="22">
        <f>(L14+L19)*Model_Parameters!$B$9</f>
        <v/>
      </c>
      <c r="M38" s="22">
        <f>(M14+M19)*Model_Parameters!$B$9</f>
        <v/>
      </c>
      <c r="N38" s="22">
        <f>SUM(B38:M38)</f>
        <v/>
      </c>
      <c r="O38" s="4" t="inlineStr">
        <is>
          <t>Penjualan baru + perpanjangan manual Pakar 1M</t>
        </is>
      </c>
    </row>
    <row r="39">
      <c r="A39" s="7" t="inlineStr">
        <is>
          <t>Penerimaan Pakar Pass 12-Bulan (Rp 490k) [S]</t>
        </is>
      </c>
      <c r="B39" s="22">
        <f>B15*Model_Parameters!$B$10</f>
        <v/>
      </c>
      <c r="C39" s="22">
        <f>C15*Model_Parameters!$B$10</f>
        <v/>
      </c>
      <c r="D39" s="22">
        <f>D15*Model_Parameters!$B$10</f>
        <v/>
      </c>
      <c r="E39" s="22">
        <f>E15*Model_Parameters!$B$10</f>
        <v/>
      </c>
      <c r="F39" s="22">
        <f>F15*Model_Parameters!$B$10</f>
        <v/>
      </c>
      <c r="G39" s="22">
        <f>G15*Model_Parameters!$B$10</f>
        <v/>
      </c>
      <c r="H39" s="22">
        <f>H15*Model_Parameters!$B$10</f>
        <v/>
      </c>
      <c r="I39" s="22">
        <f>I15*Model_Parameters!$B$10</f>
        <v/>
      </c>
      <c r="J39" s="22">
        <f>J15*Model_Parameters!$B$10</f>
        <v/>
      </c>
      <c r="K39" s="22">
        <f>K15*Model_Parameters!$B$10</f>
        <v/>
      </c>
      <c r="L39" s="22">
        <f>L15*Model_Parameters!$B$10</f>
        <v/>
      </c>
      <c r="M39" s="22">
        <f>M15*Model_Parameters!$B$10</f>
        <v/>
      </c>
      <c r="N39" s="22">
        <f>SUM(B39:M39)</f>
        <v/>
      </c>
      <c r="O39" s="4" t="inlineStr">
        <is>
          <t>Penjualan Pakar 12M di muka</t>
        </is>
      </c>
    </row>
    <row r="40">
      <c r="A40" s="7" t="inlineStr">
        <is>
          <t>Penerimaan Upgrade Tier Investor -&gt; Pakar [A]</t>
        </is>
      </c>
      <c r="B40" s="22">
        <f>B25</f>
        <v/>
      </c>
      <c r="C40" s="22">
        <f>C25</f>
        <v/>
      </c>
      <c r="D40" s="22">
        <f>D25</f>
        <v/>
      </c>
      <c r="E40" s="22">
        <f>E25</f>
        <v/>
      </c>
      <c r="F40" s="22">
        <f>F25</f>
        <v/>
      </c>
      <c r="G40" s="22">
        <f>G25</f>
        <v/>
      </c>
      <c r="H40" s="22">
        <f>H25</f>
        <v/>
      </c>
      <c r="I40" s="22">
        <f>I25</f>
        <v/>
      </c>
      <c r="J40" s="22">
        <f>J25</f>
        <v/>
      </c>
      <c r="K40" s="22">
        <f>K25</f>
        <v/>
      </c>
      <c r="L40" s="22">
        <f>L25</f>
        <v/>
      </c>
      <c r="M40" s="22">
        <f>M25</f>
        <v/>
      </c>
      <c r="N40" s="22">
        <f>SUM(B40:M40)</f>
        <v/>
      </c>
      <c r="O40" s="4" t="inlineStr">
        <is>
          <t>Kas masuk tambahan dari upgrade tier</t>
        </is>
      </c>
    </row>
    <row r="41">
      <c r="A41" s="12" t="inlineStr">
        <is>
          <t>TOTAL PENERIMAAN KAS BRUTO [A]</t>
        </is>
      </c>
      <c r="B41" s="14">
        <f>SUM(B36:B40)</f>
        <v/>
      </c>
      <c r="C41" s="14">
        <f>SUM(C36:C40)</f>
        <v/>
      </c>
      <c r="D41" s="14">
        <f>SUM(D36:D40)</f>
        <v/>
      </c>
      <c r="E41" s="14">
        <f>SUM(E36:E40)</f>
        <v/>
      </c>
      <c r="F41" s="14">
        <f>SUM(F36:F40)</f>
        <v/>
      </c>
      <c r="G41" s="14">
        <f>SUM(G36:G40)</f>
        <v/>
      </c>
      <c r="H41" s="14">
        <f>SUM(H36:H40)</f>
        <v/>
      </c>
      <c r="I41" s="14">
        <f>SUM(I36:I40)</f>
        <v/>
      </c>
      <c r="J41" s="14">
        <f>SUM(J36:J40)</f>
        <v/>
      </c>
      <c r="K41" s="14">
        <f>SUM(K36:K40)</f>
        <v/>
      </c>
      <c r="L41" s="14">
        <f>SUM(L36:L40)</f>
        <v/>
      </c>
      <c r="M41" s="14">
        <f>SUM(M36:M40)</f>
        <v/>
      </c>
      <c r="N41" s="14">
        <f>SUM(B41:M41)</f>
        <v/>
      </c>
      <c r="O41" s="12" t="inlineStr">
        <is>
          <t>Total kas masuk kotor ke payment gateway</t>
        </is>
      </c>
    </row>
    <row r="42" ht="20" customHeight="1">
      <c r="A42" s="3" t="inlineStr">
        <is>
          <t>VI. BIAYA VARIABEL &amp; PAYMENT GATEWAY (IDR) [S/A]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30" t="n"/>
    </row>
    <row r="43">
      <c r="A43" s="7" t="inlineStr">
        <is>
          <t>Biaya Payment Gateway (QRIS-First ~1,8%) [S]</t>
        </is>
      </c>
      <c r="B43" s="22">
        <f>(B12+B18)*504+B13*2111+(B14+B19)*786+B15*4931+B40*0.015</f>
        <v/>
      </c>
      <c r="C43" s="22">
        <f>(C12+C18)*504+C13*2111+(C14+C19)*786+C15*4931+C40*0.015</f>
        <v/>
      </c>
      <c r="D43" s="22">
        <f>(D12+D18)*504+D13*2111+(D14+D19)*786+D15*4931+D40*0.015</f>
        <v/>
      </c>
      <c r="E43" s="22">
        <f>(E12+E18)*504+E13*2111+(E14+E19)*786+E15*4931+E40*0.015</f>
        <v/>
      </c>
      <c r="F43" s="22">
        <f>(F12+F18)*504+F13*2111+(F14+F19)*786+F15*4931+F40*0.015</f>
        <v/>
      </c>
      <c r="G43" s="22">
        <f>(G12+G18)*504+G13*2111+(G14+G19)*786+G15*4931+G40*0.015</f>
        <v/>
      </c>
      <c r="H43" s="22">
        <f>(H12+H18)*504+H13*2111+(H14+H19)*786+H15*4931+H40*0.015</f>
        <v/>
      </c>
      <c r="I43" s="22">
        <f>(I12+I18)*504+I13*2111+(I14+I19)*786+I15*4931+I40*0.015</f>
        <v/>
      </c>
      <c r="J43" s="22">
        <f>(J12+J18)*504+J13*2111+(J14+J19)*786+J15*4931+J40*0.015</f>
        <v/>
      </c>
      <c r="K43" s="22">
        <f>(K12+K18)*504+K13*2111+(K14+K19)*786+K15*4931+K40*0.015</f>
        <v/>
      </c>
      <c r="L43" s="22">
        <f>(L12+L18)*504+L13*2111+(L14+L19)*786+L15*4931+L40*0.015</f>
        <v/>
      </c>
      <c r="M43" s="22">
        <f>(M12+M18)*504+M13*2111+(M14+M19)*786+M15*4931+M40*0.015</f>
        <v/>
      </c>
      <c r="N43" s="22">
        <f>SUM(B43:M43)</f>
        <v/>
      </c>
      <c r="O43" s="4" t="inlineStr">
        <is>
          <t>Potongan MDR Xendit (QRIS 0,7%, EW 1,8%)</t>
        </is>
      </c>
    </row>
    <row r="44">
      <c r="A44" s="7" t="inlineStr">
        <is>
          <t>Cadangan Pengembalian / Refunds (1,0%) [A]</t>
        </is>
      </c>
      <c r="B44" s="22">
        <f>B41*Model_Parameters!$B$50</f>
        <v/>
      </c>
      <c r="C44" s="22">
        <f>C41*Model_Parameters!$B$50</f>
        <v/>
      </c>
      <c r="D44" s="22">
        <f>D41*Model_Parameters!$B$50</f>
        <v/>
      </c>
      <c r="E44" s="22">
        <f>E41*Model_Parameters!$B$50</f>
        <v/>
      </c>
      <c r="F44" s="22">
        <f>F41*Model_Parameters!$B$50</f>
        <v/>
      </c>
      <c r="G44" s="22">
        <f>G41*Model_Parameters!$B$50</f>
        <v/>
      </c>
      <c r="H44" s="22">
        <f>H41*Model_Parameters!$B$50</f>
        <v/>
      </c>
      <c r="I44" s="22">
        <f>I41*Model_Parameters!$B$50</f>
        <v/>
      </c>
      <c r="J44" s="22">
        <f>J41*Model_Parameters!$B$50</f>
        <v/>
      </c>
      <c r="K44" s="22">
        <f>K41*Model_Parameters!$B$50</f>
        <v/>
      </c>
      <c r="L44" s="22">
        <f>L41*Model_Parameters!$B$50</f>
        <v/>
      </c>
      <c r="M44" s="22">
        <f>M41*Model_Parameters!$B$50</f>
        <v/>
      </c>
      <c r="N44" s="22">
        <f>SUM(B44:M44)</f>
        <v/>
      </c>
      <c r="O44" s="4" t="inlineStr">
        <is>
          <t>Cadangan risiko sengketa/transaksi dobel (1%)</t>
        </is>
      </c>
    </row>
    <row r="45">
      <c r="A45" s="7" t="inlineStr">
        <is>
          <t>Biaya Settlement Gateway (4x @ Rp 5k) [S]</t>
        </is>
      </c>
      <c r="B45" s="22">
        <f>Model_Parameters!$B$51*4</f>
        <v/>
      </c>
      <c r="C45" s="22">
        <f>Model_Parameters!$B$51*4</f>
        <v/>
      </c>
      <c r="D45" s="22">
        <f>Model_Parameters!$B$51*4</f>
        <v/>
      </c>
      <c r="E45" s="22">
        <f>Model_Parameters!$B$51*4</f>
        <v/>
      </c>
      <c r="F45" s="22">
        <f>Model_Parameters!$B$51*4</f>
        <v/>
      </c>
      <c r="G45" s="22">
        <f>Model_Parameters!$B$51*4</f>
        <v/>
      </c>
      <c r="H45" s="22">
        <f>Model_Parameters!$B$51*4</f>
        <v/>
      </c>
      <c r="I45" s="22">
        <f>Model_Parameters!$B$51*4</f>
        <v/>
      </c>
      <c r="J45" s="22">
        <f>Model_Parameters!$B$51*4</f>
        <v/>
      </c>
      <c r="K45" s="22">
        <f>Model_Parameters!$B$51*4</f>
        <v/>
      </c>
      <c r="L45" s="22">
        <f>Model_Parameters!$B$51*4</f>
        <v/>
      </c>
      <c r="M45" s="22">
        <f>Model_Parameters!$B$51*4</f>
        <v/>
      </c>
      <c r="N45" s="22">
        <f>SUM(B45:M45)</f>
        <v/>
      </c>
      <c r="O45" s="4" t="inlineStr">
        <is>
          <t>Tarif tarik dana mingguan ke rekening bank</t>
        </is>
      </c>
    </row>
    <row r="46">
      <c r="A46" s="6" t="inlineStr">
        <is>
          <t>TOTAL BIAYA VARIABEL [A]</t>
        </is>
      </c>
      <c r="B46" s="8">
        <f>SUM(B43:B45)</f>
        <v/>
      </c>
      <c r="C46" s="8">
        <f>SUM(C43:C45)</f>
        <v/>
      </c>
      <c r="D46" s="8">
        <f>SUM(D43:D45)</f>
        <v/>
      </c>
      <c r="E46" s="8">
        <f>SUM(E43:E45)</f>
        <v/>
      </c>
      <c r="F46" s="8">
        <f>SUM(F43:F45)</f>
        <v/>
      </c>
      <c r="G46" s="8">
        <f>SUM(G43:G45)</f>
        <v/>
      </c>
      <c r="H46" s="8">
        <f>SUM(H43:H45)</f>
        <v/>
      </c>
      <c r="I46" s="8">
        <f>SUM(I43:I45)</f>
        <v/>
      </c>
      <c r="J46" s="8">
        <f>SUM(J43:J45)</f>
        <v/>
      </c>
      <c r="K46" s="8">
        <f>SUM(K43:K45)</f>
        <v/>
      </c>
      <c r="L46" s="8">
        <f>SUM(L43:L45)</f>
        <v/>
      </c>
      <c r="M46" s="8">
        <f>SUM(M43:M45)</f>
        <v/>
      </c>
      <c r="N46" s="8">
        <f>SUM(B46:M46)</f>
        <v/>
      </c>
      <c r="O46" s="6" t="inlineStr">
        <is>
          <t>Total biaya variabel pemrosesan transaksi</t>
        </is>
      </c>
    </row>
    <row r="47">
      <c r="A47" s="12" t="inlineStr">
        <is>
          <t>PENERIMAAN KAS BERSIH (Net Cash Inflow) [A]</t>
        </is>
      </c>
      <c r="B47" s="14">
        <f>B41-B46</f>
        <v/>
      </c>
      <c r="C47" s="14">
        <f>C41-C46</f>
        <v/>
      </c>
      <c r="D47" s="14">
        <f>D41-D46</f>
        <v/>
      </c>
      <c r="E47" s="14">
        <f>E41-E46</f>
        <v/>
      </c>
      <c r="F47" s="14">
        <f>F41-F46</f>
        <v/>
      </c>
      <c r="G47" s="14">
        <f>G41-G46</f>
        <v/>
      </c>
      <c r="H47" s="14">
        <f>H41-H46</f>
        <v/>
      </c>
      <c r="I47" s="14">
        <f>I41-I46</f>
        <v/>
      </c>
      <c r="J47" s="14">
        <f>J41-J46</f>
        <v/>
      </c>
      <c r="K47" s="14">
        <f>K41-K46</f>
        <v/>
      </c>
      <c r="L47" s="14">
        <f>L41-L46</f>
        <v/>
      </c>
      <c r="M47" s="14">
        <f>M41-M46</f>
        <v/>
      </c>
      <c r="N47" s="14">
        <f>SUM(B47:M47)</f>
        <v/>
      </c>
      <c r="O47" s="12" t="inlineStr">
        <is>
          <t>Kas bersih setelah potongan gateway &amp; refund</t>
        </is>
      </c>
    </row>
    <row r="48" ht="20" customHeight="1">
      <c r="A48" s="3" t="inlineStr">
        <is>
          <t>VII. BEBAN OPERASIONAL TETAP (OPEX - IDR) [PHASE 0 VPS + AI SQUAD] [S/A]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30" t="n"/>
    </row>
    <row r="49">
      <c r="A49" s="7" t="inlineStr">
        <is>
          <t>Infrastruktur Hosting &amp; VPS (Phase 0 vs Vercel Pro) [S]</t>
        </is>
      </c>
      <c r="B49" s="22">
        <f>IF(B34&lt;5, Model_Parameters!$B$39, Model_Parameters!$C$39)</f>
        <v/>
      </c>
      <c r="C49" s="22">
        <f>IF(C34&lt;5, Model_Parameters!$B$39, Model_Parameters!$C$39)</f>
        <v/>
      </c>
      <c r="D49" s="22">
        <f>IF(D34&lt;5, Model_Parameters!$B$39, Model_Parameters!$C$39)</f>
        <v/>
      </c>
      <c r="E49" s="22">
        <f>IF(E34&lt;5, Model_Parameters!$B$39, Model_Parameters!$C$39)</f>
        <v/>
      </c>
      <c r="F49" s="22">
        <f>IF(F34&lt;5, Model_Parameters!$B$39, Model_Parameters!$C$39)</f>
        <v/>
      </c>
      <c r="G49" s="22">
        <f>IF(G34&lt;5, Model_Parameters!$B$39, Model_Parameters!$C$39)</f>
        <v/>
      </c>
      <c r="H49" s="22">
        <f>IF(H34&lt;5, Model_Parameters!$B$39, Model_Parameters!$C$39)</f>
        <v/>
      </c>
      <c r="I49" s="22">
        <f>IF(I34&lt;5, Model_Parameters!$B$39, Model_Parameters!$C$39)</f>
        <v/>
      </c>
      <c r="J49" s="22">
        <f>IF(J34&lt;5, Model_Parameters!$B$39, Model_Parameters!$C$39)</f>
        <v/>
      </c>
      <c r="K49" s="22">
        <f>IF(K34&lt;5, Model_Parameters!$B$39, Model_Parameters!$C$39)</f>
        <v/>
      </c>
      <c r="L49" s="22">
        <f>IF(L34&lt;5, Model_Parameters!$B$39, Model_Parameters!$C$39)</f>
        <v/>
      </c>
      <c r="M49" s="22">
        <f>IF(M34&lt;5, Model_Parameters!$B$39, Model_Parameters!$C$39)</f>
        <v/>
      </c>
      <c r="N49" s="22">
        <f>SUM(B49:M49)</f>
        <v/>
      </c>
      <c r="O49" s="4" t="inlineStr">
        <is>
          <t>Fase 0 VPS Rp 70k saat paying &lt; 5; Vercel Pro Rp 390k saat &gt;= 5</t>
        </is>
      </c>
    </row>
    <row r="50">
      <c r="A50" s="7" t="inlineStr">
        <is>
          <t>Biaya Operasional AI Agent Squad (Claude USD 20 @ Rp 16k) [S]</t>
        </is>
      </c>
      <c r="B50" s="22">
        <f>Model_Parameters!$B$40</f>
        <v/>
      </c>
      <c r="C50" s="22">
        <f>Model_Parameters!$B$40</f>
        <v/>
      </c>
      <c r="D50" s="22">
        <f>Model_Parameters!$B$40</f>
        <v/>
      </c>
      <c r="E50" s="22">
        <f>Model_Parameters!$B$40</f>
        <v/>
      </c>
      <c r="F50" s="22">
        <f>Model_Parameters!$B$40</f>
        <v/>
      </c>
      <c r="G50" s="22">
        <f>Model_Parameters!$B$40</f>
        <v/>
      </c>
      <c r="H50" s="22">
        <f>Model_Parameters!$B$40</f>
        <v/>
      </c>
      <c r="I50" s="22">
        <f>Model_Parameters!$B$40</f>
        <v/>
      </c>
      <c r="J50" s="22">
        <f>Model_Parameters!$B$40</f>
        <v/>
      </c>
      <c r="K50" s="22">
        <f>Model_Parameters!$B$40</f>
        <v/>
      </c>
      <c r="L50" s="22">
        <f>Model_Parameters!$B$40</f>
        <v/>
      </c>
      <c r="M50" s="22">
        <f>Model_Parameters!$B$40</f>
        <v/>
      </c>
      <c r="N50" s="22">
        <f>SUM(B50:M50)</f>
        <v/>
      </c>
      <c r="O50" s="4" t="inlineStr">
        <is>
          <t>Biaya flat langganan Claude squad 11 agen via gateway</t>
        </is>
      </c>
    </row>
    <row r="51">
      <c r="A51" s="7" t="inlineStr">
        <is>
          <t>Feed Data Pasar Resmi (EODHD $20 mulai M4) [S]</t>
        </is>
      </c>
      <c r="B51" s="22">
        <f>IF(B31&gt;=50, Model_Parameters!$D$41, 0)</f>
        <v/>
      </c>
      <c r="C51" s="22">
        <f>IF(C31&gt;=50, Model_Parameters!$D$41, 0)</f>
        <v/>
      </c>
      <c r="D51" s="22">
        <f>IF(D31&gt;=50, Model_Parameters!$D$41, 0)</f>
        <v/>
      </c>
      <c r="E51" s="22">
        <f>IF(E31&gt;=50, Model_Parameters!$D$41, 0)</f>
        <v/>
      </c>
      <c r="F51" s="22">
        <f>IF(F31&gt;=50, Model_Parameters!$D$41, 0)</f>
        <v/>
      </c>
      <c r="G51" s="22">
        <f>IF(G31&gt;=50, Model_Parameters!$D$41, 0)</f>
        <v/>
      </c>
      <c r="H51" s="22">
        <f>IF(H31&gt;=50, Model_Parameters!$D$41, 0)</f>
        <v/>
      </c>
      <c r="I51" s="22">
        <f>IF(I31&gt;=50, Model_Parameters!$D$41, 0)</f>
        <v/>
      </c>
      <c r="J51" s="22">
        <f>IF(J31&gt;=50, Model_Parameters!$D$41, 0)</f>
        <v/>
      </c>
      <c r="K51" s="22">
        <f>IF(K31&gt;=50, Model_Parameters!$D$41, 0)</f>
        <v/>
      </c>
      <c r="L51" s="22">
        <f>IF(L31&gt;=50, Model_Parameters!$D$41, 0)</f>
        <v/>
      </c>
      <c r="M51" s="22">
        <f>IF(M31&gt;=50, Model_Parameters!$D$41, 0)</f>
        <v/>
      </c>
      <c r="N51" s="22">
        <f>SUM(B51:M51)</f>
        <v/>
      </c>
      <c r="O51" s="4" t="inlineStr">
        <is>
          <t>Feed resmi EODHD komersial saat aktif &gt;= 50 subs</t>
        </is>
      </c>
    </row>
    <row r="52">
      <c r="A52" s="7" t="inlineStr">
        <is>
          <t>Database &amp; Autentikasi (SQLite + Litestream Fase 0 / Neon PG) [S]</t>
        </is>
      </c>
      <c r="B52" s="22">
        <f>IF(B31&gt;=500, Model_Parameters!$E$42, 0)</f>
        <v/>
      </c>
      <c r="C52" s="22">
        <f>IF(C31&gt;=500, Model_Parameters!$E$42, 0)</f>
        <v/>
      </c>
      <c r="D52" s="22">
        <f>IF(D31&gt;=500, Model_Parameters!$E$42, 0)</f>
        <v/>
      </c>
      <c r="E52" s="22">
        <f>IF(E31&gt;=500, Model_Parameters!$E$42, 0)</f>
        <v/>
      </c>
      <c r="F52" s="22">
        <f>IF(F31&gt;=500, Model_Parameters!$E$42, 0)</f>
        <v/>
      </c>
      <c r="G52" s="22">
        <f>IF(G31&gt;=500, Model_Parameters!$E$42, 0)</f>
        <v/>
      </c>
      <c r="H52" s="22">
        <f>IF(H31&gt;=500, Model_Parameters!$E$42, 0)</f>
        <v/>
      </c>
      <c r="I52" s="22">
        <f>IF(I31&gt;=500, Model_Parameters!$E$42, 0)</f>
        <v/>
      </c>
      <c r="J52" s="22">
        <f>IF(J31&gt;=500, Model_Parameters!$E$42, 0)</f>
        <v/>
      </c>
      <c r="K52" s="22">
        <f>IF(K31&gt;=500, Model_Parameters!$E$42, 0)</f>
        <v/>
      </c>
      <c r="L52" s="22">
        <f>IF(L31&gt;=500, Model_Parameters!$E$42, 0)</f>
        <v/>
      </c>
      <c r="M52" s="22">
        <f>IF(M31&gt;=500, Model_Parameters!$E$42, 0)</f>
        <v/>
      </c>
      <c r="N52" s="22">
        <f>SUM(B52:M52)</f>
        <v/>
      </c>
      <c r="O52" s="4" t="inlineStr">
        <is>
          <t>SQLite+Litestream di VPS (Rp 0); Supabase Pro didrop per Jim D3</t>
        </is>
      </c>
    </row>
    <row r="53">
      <c r="A53" s="7" t="inlineStr">
        <is>
          <t>Alokasi Pemasaran &amp; Edukasi Komunitas [A]</t>
        </is>
      </c>
      <c r="B53" s="22" t="n">
        <v>250000</v>
      </c>
      <c r="C53" s="22" t="n">
        <v>250000</v>
      </c>
      <c r="D53" s="22" t="n">
        <v>250000</v>
      </c>
      <c r="E53" s="22" t="n">
        <v>250000</v>
      </c>
      <c r="F53" s="22" t="n">
        <v>250000</v>
      </c>
      <c r="G53" s="22" t="n">
        <v>250000</v>
      </c>
      <c r="H53" s="22" t="n">
        <v>300000</v>
      </c>
      <c r="I53" s="22" t="n">
        <v>300000</v>
      </c>
      <c r="J53" s="22" t="n">
        <v>300000</v>
      </c>
      <c r="K53" s="22" t="n">
        <v>300000</v>
      </c>
      <c r="L53" s="22" t="n">
        <v>300000</v>
      </c>
      <c r="M53" s="22" t="n">
        <v>300000</v>
      </c>
      <c r="N53" s="22">
        <f>SUM(B53:M53)</f>
        <v/>
      </c>
      <c r="O53" s="4" t="inlineStr">
        <is>
          <t>Anggaran seeding konten, infografis &amp; kemitraan</t>
        </is>
      </c>
    </row>
    <row r="54">
      <c r="A54" s="7" t="inlineStr">
        <is>
          <t>Biaya Jasa Kepatuhan Pajak / Akuntan (Asumsi) [A]</t>
        </is>
      </c>
      <c r="B54" s="22" t="n">
        <v>0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>
        <f>SUM(B54:M54)</f>
        <v/>
      </c>
      <c r="O54" s="4" t="inlineStr">
        <is>
          <t>Lapor mandiri WPOP (Rp 0 di awal)</t>
        </is>
      </c>
    </row>
    <row r="55">
      <c r="A55" s="12" t="inlineStr">
        <is>
          <t>TOTAL BEBAN OPERASIONAL TETAP (OPEX) [A]</t>
        </is>
      </c>
      <c r="B55" s="14">
        <f>SUM(B49:B54)</f>
        <v/>
      </c>
      <c r="C55" s="14">
        <f>SUM(C49:C54)</f>
        <v/>
      </c>
      <c r="D55" s="14">
        <f>SUM(D49:D54)</f>
        <v/>
      </c>
      <c r="E55" s="14">
        <f>SUM(E49:E54)</f>
        <v/>
      </c>
      <c r="F55" s="14">
        <f>SUM(F49:F54)</f>
        <v/>
      </c>
      <c r="G55" s="14">
        <f>SUM(G49:G54)</f>
        <v/>
      </c>
      <c r="H55" s="14">
        <f>SUM(H49:H54)</f>
        <v/>
      </c>
      <c r="I55" s="14">
        <f>SUM(I49:I54)</f>
        <v/>
      </c>
      <c r="J55" s="14">
        <f>SUM(J49:J54)</f>
        <v/>
      </c>
      <c r="K55" s="14">
        <f>SUM(K49:K54)</f>
        <v/>
      </c>
      <c r="L55" s="14">
        <f>SUM(L49:L54)</f>
        <v/>
      </c>
      <c r="M55" s="14">
        <f>SUM(M49:M54)</f>
        <v/>
      </c>
      <c r="N55" s="14">
        <f>SUM(B55:M55)</f>
        <v/>
      </c>
      <c r="O55" s="12" t="inlineStr">
        <is>
          <t>Total beban kas operasional wajib bulanan</t>
        </is>
      </c>
    </row>
    <row r="56" ht="20" customHeight="1">
      <c r="A56" s="3" t="inlineStr">
        <is>
          <t>VIII. PROFITABILITAS OPERASIONAL, PAJAK &amp; SALDO KAS AKUMULATIF (IDR) [S/A]</t>
        </is>
      </c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30" t="n"/>
    </row>
    <row r="57">
      <c r="A57" s="12" t="inlineStr">
        <is>
          <t>LABA OPERASIONAL KAS (EBITDA) [A]</t>
        </is>
      </c>
      <c r="B57" s="14">
        <f>B47-B55</f>
        <v/>
      </c>
      <c r="C57" s="14">
        <f>C47-C55</f>
        <v/>
      </c>
      <c r="D57" s="14">
        <f>D47-D55</f>
        <v/>
      </c>
      <c r="E57" s="14">
        <f>E47-E55</f>
        <v/>
      </c>
      <c r="F57" s="14">
        <f>F47-F55</f>
        <v/>
      </c>
      <c r="G57" s="14">
        <f>G47-G55</f>
        <v/>
      </c>
      <c r="H57" s="14">
        <f>H47-H55</f>
        <v/>
      </c>
      <c r="I57" s="14">
        <f>I47-I55</f>
        <v/>
      </c>
      <c r="J57" s="14">
        <f>J47-J55</f>
        <v/>
      </c>
      <c r="K57" s="14">
        <f>K47-K55</f>
        <v/>
      </c>
      <c r="L57" s="14">
        <f>L47-L55</f>
        <v/>
      </c>
      <c r="M57" s="14">
        <f>M47-M55</f>
        <v/>
      </c>
      <c r="N57" s="14">
        <f>SUM(B57:M57)</f>
        <v/>
      </c>
      <c r="O57" s="12" t="inlineStr">
        <is>
          <t>Kas Bersih - OpEx Tetap</t>
        </is>
      </c>
    </row>
    <row r="58">
      <c r="A58" s="6" t="inlineStr">
        <is>
          <t>Margin Laba Kas EBITDA (%) [A]</t>
        </is>
      </c>
      <c r="B58" s="23">
        <f>IF(B41&gt;0, B57/B41, 0)</f>
        <v/>
      </c>
      <c r="C58" s="23">
        <f>IF(C41&gt;0, C57/C41, 0)</f>
        <v/>
      </c>
      <c r="D58" s="23">
        <f>IF(D41&gt;0, D57/D41, 0)</f>
        <v/>
      </c>
      <c r="E58" s="23">
        <f>IF(E41&gt;0, E57/E41, 0)</f>
        <v/>
      </c>
      <c r="F58" s="23">
        <f>IF(F41&gt;0, F57/F41, 0)</f>
        <v/>
      </c>
      <c r="G58" s="23">
        <f>IF(G41&gt;0, G57/G41, 0)</f>
        <v/>
      </c>
      <c r="H58" s="23">
        <f>IF(H41&gt;0, H57/H41, 0)</f>
        <v/>
      </c>
      <c r="I58" s="23">
        <f>IF(I41&gt;0, I57/I41, 0)</f>
        <v/>
      </c>
      <c r="J58" s="23">
        <f>IF(J41&gt;0, J57/J41, 0)</f>
        <v/>
      </c>
      <c r="K58" s="23">
        <f>IF(K41&gt;0, K57/K41, 0)</f>
        <v/>
      </c>
      <c r="L58" s="23">
        <f>IF(L41&gt;0, L57/L41, 0)</f>
        <v/>
      </c>
      <c r="M58" s="23">
        <f>IF(M41&gt;0, M57/M41, 0)</f>
        <v/>
      </c>
      <c r="N58" s="23">
        <f>IF(N41&gt;0, N57/N41, 0)</f>
        <v/>
      </c>
      <c r="O58" s="4" t="inlineStr">
        <is>
          <t>EBITDA / Kas Masuk Bruto</t>
        </is>
      </c>
    </row>
    <row r="59">
      <c r="A59" s="7" t="inlineStr">
        <is>
          <t>Estimasi PPh Final PP 55/2022 (WPOP Bebas s.d. Rp 500M) [S]</t>
        </is>
      </c>
      <c r="B59" s="22">
        <f>MAX(0, MIN(B41, SUM($B$41:B41) - 500000000)) * 0.005</f>
        <v/>
      </c>
      <c r="C59" s="22">
        <f>MAX(0, MIN(C41, SUM($B$41:C41) - 500000000)) * 0.005</f>
        <v/>
      </c>
      <c r="D59" s="22">
        <f>MAX(0, MIN(D41, SUM($B$41:D41) - 500000000)) * 0.005</f>
        <v/>
      </c>
      <c r="E59" s="22">
        <f>MAX(0, MIN(E41, SUM($B$41:E41) - 500000000)) * 0.005</f>
        <v/>
      </c>
      <c r="F59" s="22">
        <f>MAX(0, MIN(F41, SUM($B$41:F41) - 500000000)) * 0.005</f>
        <v/>
      </c>
      <c r="G59" s="22">
        <f>MAX(0, MIN(G41, SUM($B$41:G41) - 500000000)) * 0.005</f>
        <v/>
      </c>
      <c r="H59" s="22">
        <f>MAX(0, MIN(H41, SUM($B$41:H41) - 500000000)) * 0.005</f>
        <v/>
      </c>
      <c r="I59" s="22">
        <f>MAX(0, MIN(I41, SUM($B$41:I41) - 500000000)) * 0.005</f>
        <v/>
      </c>
      <c r="J59" s="22">
        <f>MAX(0, MIN(J41, SUM($B$41:J41) - 500000000)) * 0.005</f>
        <v/>
      </c>
      <c r="K59" s="22">
        <f>MAX(0, MIN(K41, SUM($B$41:K41) - 500000000)) * 0.005</f>
        <v/>
      </c>
      <c r="L59" s="22">
        <f>MAX(0, MIN(L41, SUM($B$41:L41) - 500000000)) * 0.005</f>
        <v/>
      </c>
      <c r="M59" s="22">
        <f>MAX(0, MIN(M41, SUM($B$41:M41) - 500000000)) * 0.005</f>
        <v/>
      </c>
      <c r="N59" s="22">
        <f>SUM(B59:M59)</f>
        <v/>
      </c>
      <c r="O59" s="4" t="inlineStr">
        <is>
          <t>PPh Final 0,5% atas omzet &gt; Rp 500 Juta (Pasal 69)</t>
        </is>
      </c>
    </row>
    <row r="60">
      <c r="A60" s="12" t="inlineStr">
        <is>
          <t>LABA BERSIH KAS SETELAH PAJAK [A]</t>
        </is>
      </c>
      <c r="B60" s="14">
        <f>B57-B59</f>
        <v/>
      </c>
      <c r="C60" s="14">
        <f>C57-C59</f>
        <v/>
      </c>
      <c r="D60" s="14">
        <f>D57-D59</f>
        <v/>
      </c>
      <c r="E60" s="14">
        <f>E57-E59</f>
        <v/>
      </c>
      <c r="F60" s="14">
        <f>F57-F59</f>
        <v/>
      </c>
      <c r="G60" s="14">
        <f>G57-G59</f>
        <v/>
      </c>
      <c r="H60" s="14">
        <f>H57-H59</f>
        <v/>
      </c>
      <c r="I60" s="14">
        <f>I57-I59</f>
        <v/>
      </c>
      <c r="J60" s="14">
        <f>J57-J59</f>
        <v/>
      </c>
      <c r="K60" s="14">
        <f>K57-K59</f>
        <v/>
      </c>
      <c r="L60" s="14">
        <f>L57-L59</f>
        <v/>
      </c>
      <c r="M60" s="14">
        <f>M57-M59</f>
        <v/>
      </c>
      <c r="N60" s="14">
        <f>SUM(B60:M60)</f>
        <v/>
      </c>
      <c r="O60" s="12" t="inlineStr">
        <is>
          <t>EBITDA dikurangi kewajiban pajak</t>
        </is>
      </c>
    </row>
    <row r="61">
      <c r="A61" s="6" t="inlineStr">
        <is>
          <t>Margin Kas Bersih Setelah Pajak (%) [A]</t>
        </is>
      </c>
      <c r="B61" s="23">
        <f>IF(B41&gt;0, B60/B41, 0)</f>
        <v/>
      </c>
      <c r="C61" s="23">
        <f>IF(C41&gt;0, C60/C41, 0)</f>
        <v/>
      </c>
      <c r="D61" s="23">
        <f>IF(D41&gt;0, D60/D41, 0)</f>
        <v/>
      </c>
      <c r="E61" s="23">
        <f>IF(E41&gt;0, E60/E41, 0)</f>
        <v/>
      </c>
      <c r="F61" s="23">
        <f>IF(F41&gt;0, F60/F41, 0)</f>
        <v/>
      </c>
      <c r="G61" s="23">
        <f>IF(G41&gt;0, G60/G41, 0)</f>
        <v/>
      </c>
      <c r="H61" s="23">
        <f>IF(H41&gt;0, H60/H41, 0)</f>
        <v/>
      </c>
      <c r="I61" s="23">
        <f>IF(I41&gt;0, I60/I41, 0)</f>
        <v/>
      </c>
      <c r="J61" s="23">
        <f>IF(J41&gt;0, J60/J41, 0)</f>
        <v/>
      </c>
      <c r="K61" s="23">
        <f>IF(K41&gt;0, K60/K41, 0)</f>
        <v/>
      </c>
      <c r="L61" s="23">
        <f>IF(L41&gt;0, L60/L41, 0)</f>
        <v/>
      </c>
      <c r="M61" s="23">
        <f>IF(M41&gt;0, M60/M41, 0)</f>
        <v/>
      </c>
      <c r="N61" s="23">
        <f>IF(N41&gt;0, N60/N41, 0)</f>
        <v/>
      </c>
      <c r="O61" s="4" t="inlineStr">
        <is>
          <t>Laba Bersih Kas / Kas Masuk Bruto</t>
        </is>
      </c>
    </row>
    <row r="62">
      <c r="A62" s="24" t="inlineStr">
        <is>
          <t>SALDO KAS AKUMULATIF (Ending Cash) [A]</t>
        </is>
      </c>
      <c r="B62" s="25">
        <f>B60</f>
        <v/>
      </c>
      <c r="C62" s="25">
        <f>B62+C60</f>
        <v/>
      </c>
      <c r="D62" s="25">
        <f>C62+D60</f>
        <v/>
      </c>
      <c r="E62" s="25">
        <f>D62+E60</f>
        <v/>
      </c>
      <c r="F62" s="25">
        <f>E62+F60</f>
        <v/>
      </c>
      <c r="G62" s="25">
        <f>F62+G60</f>
        <v/>
      </c>
      <c r="H62" s="25">
        <f>G62+H60</f>
        <v/>
      </c>
      <c r="I62" s="25">
        <f>H62+I60</f>
        <v/>
      </c>
      <c r="J62" s="25">
        <f>I62+J60</f>
        <v/>
      </c>
      <c r="K62" s="25">
        <f>J62+K60</f>
        <v/>
      </c>
      <c r="L62" s="25">
        <f>K62+L60</f>
        <v/>
      </c>
      <c r="M62" s="25">
        <f>L62+M60</f>
        <v/>
      </c>
      <c r="N62" s="25">
        <f>M62</f>
        <v/>
      </c>
      <c r="O62" s="24" t="inlineStr">
        <is>
          <t>Saldo kas mengendap di bank pada akhir bulan</t>
        </is>
      </c>
    </row>
  </sheetData>
  <mergeCells count="8">
    <mergeCell ref="A35:O35"/>
    <mergeCell ref="A26:O26"/>
    <mergeCell ref="A20:O20"/>
    <mergeCell ref="A16:O16"/>
    <mergeCell ref="A42:O42"/>
    <mergeCell ref="A5:O5"/>
    <mergeCell ref="A56:O56"/>
    <mergeCell ref="A48:O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61" customWidth="1" min="2" max="2"/>
    <col width="61" customWidth="1" min="3" max="3"/>
    <col width="61" customWidth="1" min="4" max="4"/>
    <col width="61" customWidth="1" min="5" max="5"/>
    <col width="61" customWidth="1" min="6" max="6"/>
    <col width="61" customWidth="1" min="7" max="7"/>
    <col width="61" customWidth="1" min="8" max="8"/>
    <col width="61" customWidth="1" min="9" max="9"/>
    <col width="61" customWidth="1" min="10" max="10"/>
    <col width="61" customWidth="1" min="11" max="11"/>
    <col width="61" customWidth="1" min="12" max="12"/>
    <col width="61" customWidth="1" min="13" max="13"/>
    <col width="16" customWidth="1" min="14" max="14"/>
    <col width="45" customWidth="1" min="15" max="15"/>
  </cols>
  <sheetData>
    <row r="1">
      <c r="A1" s="1" t="inlineStr">
        <is>
          <t>IHSG STORM — MODEL KEUANGAN 12 BULAN (SKENARIO 2: KONSERVATIF)</t>
        </is>
      </c>
    </row>
    <row r="2">
      <c r="A2" s="2" t="inlineStr">
        <is>
          <t>Dinamika Bulanan: One-Time Pass, Perpanjangan Manual, Jalur Upgrade, Akun Comp, OpEx Phase 0 VPS (Drop Supabase) &amp; Kas (v3.1) | Oscar</t>
        </is>
      </c>
    </row>
    <row r="4" ht="25" customHeight="1">
      <c r="A4" s="21" t="inlineStr">
        <is>
          <t>Metrik / Pos Keuangan</t>
        </is>
      </c>
      <c r="B4" s="21" t="inlineStr">
        <is>
          <t>M1 (Nov)</t>
        </is>
      </c>
      <c r="C4" s="21" t="inlineStr">
        <is>
          <t>M2 (Des)</t>
        </is>
      </c>
      <c r="D4" s="21" t="inlineStr">
        <is>
          <t>M3 (Jan)</t>
        </is>
      </c>
      <c r="E4" s="21" t="inlineStr">
        <is>
          <t>M4 (Feb)</t>
        </is>
      </c>
      <c r="F4" s="21" t="inlineStr">
        <is>
          <t>M5 (Mar)</t>
        </is>
      </c>
      <c r="G4" s="21" t="inlineStr">
        <is>
          <t>M6 (Apr)</t>
        </is>
      </c>
      <c r="H4" s="21" t="inlineStr">
        <is>
          <t>M7 (Mei)</t>
        </is>
      </c>
      <c r="I4" s="21" t="inlineStr">
        <is>
          <t>M8 (Jun)</t>
        </is>
      </c>
      <c r="J4" s="21" t="inlineStr">
        <is>
          <t>M9 (Jul)</t>
        </is>
      </c>
      <c r="K4" s="21" t="inlineStr">
        <is>
          <t>M10 (Agu)</t>
        </is>
      </c>
      <c r="L4" s="21" t="inlineStr">
        <is>
          <t>M11 (Sep)</t>
        </is>
      </c>
      <c r="M4" s="21" t="inlineStr">
        <is>
          <t>M12 (Okt)</t>
        </is>
      </c>
      <c r="N4" s="21" t="inlineStr">
        <is>
          <t>Total 12 Bulan</t>
        </is>
      </c>
      <c r="O4" s="21" t="inlineStr">
        <is>
          <t>Keterangan &amp; Formula</t>
        </is>
      </c>
    </row>
    <row r="5" ht="20" customHeight="1">
      <c r="A5" s="3" t="inlineStr">
        <is>
          <t>I. TRAFIK &amp; FUNNEL AKUISISI PENGGUNA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n"/>
    </row>
    <row r="6">
      <c r="A6" s="7" t="inlineStr">
        <is>
          <t>Pengunjung Unik Bulanan [A]</t>
        </is>
      </c>
      <c r="B6" s="22" t="n">
        <v>1500</v>
      </c>
      <c r="C6" s="22" t="n">
        <v>2500</v>
      </c>
      <c r="D6" s="22" t="n">
        <v>4000</v>
      </c>
      <c r="E6" s="22" t="n">
        <v>6000</v>
      </c>
      <c r="F6" s="22" t="n">
        <v>8500</v>
      </c>
      <c r="G6" s="22" t="n">
        <v>11500</v>
      </c>
      <c r="H6" s="22" t="n">
        <v>14500</v>
      </c>
      <c r="I6" s="22" t="n">
        <v>17500</v>
      </c>
      <c r="J6" s="22" t="n">
        <v>20000</v>
      </c>
      <c r="K6" s="22" t="n">
        <v>22000</v>
      </c>
      <c r="L6" s="22" t="n">
        <v>23500</v>
      </c>
      <c r="M6" s="22" t="n">
        <v>25000</v>
      </c>
      <c r="N6" s="22">
        <f>SUM(B6:M6)</f>
        <v/>
      </c>
      <c r="O6" s="4" t="inlineStr">
        <is>
          <t>Proyeksi trafik web unik bulanan</t>
        </is>
      </c>
    </row>
    <row r="7">
      <c r="A7" s="7" t="inlineStr">
        <is>
          <t>Rasio Registrasi Akun Gratis (%) [A]</t>
        </is>
      </c>
      <c r="B7" s="23" t="n">
        <v>0.2</v>
      </c>
      <c r="C7" s="23" t="n">
        <v>0.2</v>
      </c>
      <c r="D7" s="23" t="n">
        <v>0.2</v>
      </c>
      <c r="E7" s="23" t="n">
        <v>0.2</v>
      </c>
      <c r="F7" s="23" t="n">
        <v>0.2</v>
      </c>
      <c r="G7" s="23" t="n">
        <v>0.2</v>
      </c>
      <c r="H7" s="23" t="n">
        <v>0.2</v>
      </c>
      <c r="I7" s="23" t="n">
        <v>0.2</v>
      </c>
      <c r="J7" s="23" t="n">
        <v>0.2</v>
      </c>
      <c r="K7" s="23" t="n">
        <v>0.2</v>
      </c>
      <c r="L7" s="23" t="n">
        <v>0.2</v>
      </c>
      <c r="M7" s="23" t="n">
        <v>0.2</v>
      </c>
      <c r="N7" s="23">
        <f>AVERAGE(B7:M7)</f>
        <v/>
      </c>
      <c r="O7" s="4" t="inlineStr">
        <is>
          <t>Persentase pengunjung yang mendaftar gratis</t>
        </is>
      </c>
    </row>
    <row r="8">
      <c r="A8" s="7" t="inlineStr">
        <is>
          <t>Pendaftaran Akun Gratis Baru (MoM) [A]</t>
        </is>
      </c>
      <c r="B8" s="22">
        <f>B6*B7</f>
        <v/>
      </c>
      <c r="C8" s="22">
        <f>C6*C7</f>
        <v/>
      </c>
      <c r="D8" s="22">
        <f>D6*D7</f>
        <v/>
      </c>
      <c r="E8" s="22">
        <f>E6*E7</f>
        <v/>
      </c>
      <c r="F8" s="22">
        <f>F6*F7</f>
        <v/>
      </c>
      <c r="G8" s="22">
        <f>G6*G7</f>
        <v/>
      </c>
      <c r="H8" s="22">
        <f>H6*H7</f>
        <v/>
      </c>
      <c r="I8" s="22">
        <f>I6*I7</f>
        <v/>
      </c>
      <c r="J8" s="22">
        <f>J6*J7</f>
        <v/>
      </c>
      <c r="K8" s="22">
        <f>K6*K7</f>
        <v/>
      </c>
      <c r="L8" s="22">
        <f>L6*L7</f>
        <v/>
      </c>
      <c r="M8" s="22">
        <f>M6*M7</f>
        <v/>
      </c>
      <c r="N8" s="22">
        <f>SUM(B8:M8)</f>
        <v/>
      </c>
      <c r="O8" s="4" t="inlineStr">
        <is>
          <t>Pengguna gratis baru per bulan</t>
        </is>
      </c>
    </row>
    <row r="9">
      <c r="A9" s="7" t="inlineStr">
        <is>
          <t>Akumulasi Pengguna Gratis Terdaftar [A]</t>
        </is>
      </c>
      <c r="B9" s="22">
        <f>B8</f>
        <v/>
      </c>
      <c r="C9" s="22">
        <f>B9+C8</f>
        <v/>
      </c>
      <c r="D9" s="22">
        <f>C9+D8</f>
        <v/>
      </c>
      <c r="E9" s="22">
        <f>D9+E8</f>
        <v/>
      </c>
      <c r="F9" s="22">
        <f>E9+F8</f>
        <v/>
      </c>
      <c r="G9" s="22">
        <f>F9+G8</f>
        <v/>
      </c>
      <c r="H9" s="22">
        <f>G9+H8</f>
        <v/>
      </c>
      <c r="I9" s="22">
        <f>H9+I8</f>
        <v/>
      </c>
      <c r="J9" s="22">
        <f>I9+J8</f>
        <v/>
      </c>
      <c r="K9" s="22">
        <f>J9+K8</f>
        <v/>
      </c>
      <c r="L9" s="22">
        <f>K9+L8</f>
        <v/>
      </c>
      <c r="M9" s="22">
        <f>L9+M8</f>
        <v/>
      </c>
      <c r="N9" s="22">
        <f>M9</f>
        <v/>
      </c>
      <c r="O9" s="4" t="inlineStr">
        <is>
          <t>Total basis akun gratis kumulatif</t>
        </is>
      </c>
    </row>
    <row r="10">
      <c r="A10" s="7" t="inlineStr">
        <is>
          <t>Tingkat Konversi Akun Baru ke Berbayar (%) [A]</t>
        </is>
      </c>
      <c r="B10" s="23" t="n">
        <v>0.015</v>
      </c>
      <c r="C10" s="23" t="n">
        <v>0.015</v>
      </c>
      <c r="D10" s="23" t="n">
        <v>0.015</v>
      </c>
      <c r="E10" s="23" t="n">
        <v>0.015</v>
      </c>
      <c r="F10" s="23" t="n">
        <v>0.015</v>
      </c>
      <c r="G10" s="23" t="n">
        <v>0.015</v>
      </c>
      <c r="H10" s="23" t="n">
        <v>0.015</v>
      </c>
      <c r="I10" s="23" t="n">
        <v>0.015</v>
      </c>
      <c r="J10" s="23" t="n">
        <v>0.015</v>
      </c>
      <c r="K10" s="23" t="n">
        <v>0.015</v>
      </c>
      <c r="L10" s="23" t="n">
        <v>0.015</v>
      </c>
      <c r="M10" s="23" t="n">
        <v>0.015</v>
      </c>
      <c r="N10" s="23">
        <f>AVERAGE(B10:M10)</f>
        <v/>
      </c>
      <c r="O10" s="4" t="inlineStr">
        <is>
          <t>Persentase akun baru yang membeli pass berbayar</t>
        </is>
      </c>
    </row>
    <row r="11">
      <c r="A11" s="6" t="inlineStr">
        <is>
          <t>Pelanggan Pembeli Pass Baru Total (Cohort) [A]</t>
        </is>
      </c>
      <c r="B11" s="8">
        <f>B8*B10</f>
        <v/>
      </c>
      <c r="C11" s="8">
        <f>C8*C10</f>
        <v/>
      </c>
      <c r="D11" s="8">
        <f>D8*D10</f>
        <v/>
      </c>
      <c r="E11" s="8">
        <f>E8*E10</f>
        <v/>
      </c>
      <c r="F11" s="8">
        <f>F8*F10</f>
        <v/>
      </c>
      <c r="G11" s="8">
        <f>G8*G10</f>
        <v/>
      </c>
      <c r="H11" s="8">
        <f>H8*H10</f>
        <v/>
      </c>
      <c r="I11" s="8">
        <f>I8*I10</f>
        <v/>
      </c>
      <c r="J11" s="8">
        <f>J8*J10</f>
        <v/>
      </c>
      <c r="K11" s="8">
        <f>K8*K10</f>
        <v/>
      </c>
      <c r="L11" s="8">
        <f>L8*L10</f>
        <v/>
      </c>
      <c r="M11" s="8">
        <f>M8*M10</f>
        <v/>
      </c>
      <c r="N11" s="8">
        <f>SUM(B11:M11)</f>
        <v/>
      </c>
      <c r="O11" s="6" t="inlineStr">
        <is>
          <t>Total pembeli baru pertama kali</t>
        </is>
      </c>
    </row>
    <row r="12">
      <c r="A12" s="7" t="inlineStr">
        <is>
          <t xml:space="preserve">  • Investor Pass 1-Bulan Baru (Rp 19k) [A]</t>
        </is>
      </c>
      <c r="B12" s="22">
        <f>B11*0.56</f>
        <v/>
      </c>
      <c r="C12" s="22">
        <f>C11*0.56</f>
        <v/>
      </c>
      <c r="D12" s="22">
        <f>D11*0.56</f>
        <v/>
      </c>
      <c r="E12" s="22">
        <f>E11*0.56</f>
        <v/>
      </c>
      <c r="F12" s="22">
        <f>F11*0.56</f>
        <v/>
      </c>
      <c r="G12" s="22">
        <f>G11*0.56</f>
        <v/>
      </c>
      <c r="H12" s="22">
        <f>H11*0.56</f>
        <v/>
      </c>
      <c r="I12" s="22">
        <f>I11*0.56</f>
        <v/>
      </c>
      <c r="J12" s="22">
        <f>J11*0.56</f>
        <v/>
      </c>
      <c r="K12" s="22">
        <f>K11*0.56</f>
        <v/>
      </c>
      <c r="L12" s="22">
        <f>L11*0.56</f>
        <v/>
      </c>
      <c r="M12" s="22">
        <f>M11*0.56</f>
        <v/>
      </c>
      <c r="N12" s="22">
        <f>SUM(B12:M12)</f>
        <v/>
      </c>
      <c r="O12" s="4" t="inlineStr">
        <is>
          <t>56% dari pembeli baru memilih Investor 1M</t>
        </is>
      </c>
    </row>
    <row r="13">
      <c r="A13" s="7" t="inlineStr">
        <is>
          <t xml:space="preserve">  • Investor Pass 12-Bulan Baru (Rp 190k) [A]</t>
        </is>
      </c>
      <c r="B13" s="22">
        <f>B11*0.14</f>
        <v/>
      </c>
      <c r="C13" s="22">
        <f>C11*0.14</f>
        <v/>
      </c>
      <c r="D13" s="22">
        <f>D11*0.14</f>
        <v/>
      </c>
      <c r="E13" s="22">
        <f>E11*0.14</f>
        <v/>
      </c>
      <c r="F13" s="22">
        <f>F11*0.14</f>
        <v/>
      </c>
      <c r="G13" s="22">
        <f>G11*0.14</f>
        <v/>
      </c>
      <c r="H13" s="22">
        <f>H11*0.14</f>
        <v/>
      </c>
      <c r="I13" s="22">
        <f>I11*0.14</f>
        <v/>
      </c>
      <c r="J13" s="22">
        <f>J11*0.14</f>
        <v/>
      </c>
      <c r="K13" s="22">
        <f>K11*0.14</f>
        <v/>
      </c>
      <c r="L13" s="22">
        <f>L11*0.14</f>
        <v/>
      </c>
      <c r="M13" s="22">
        <f>M11*0.14</f>
        <v/>
      </c>
      <c r="N13" s="22">
        <f>SUM(B13:M13)</f>
        <v/>
      </c>
      <c r="O13" s="4" t="inlineStr">
        <is>
          <t>14% dari pembeli baru memilih Investor 12M</t>
        </is>
      </c>
    </row>
    <row r="14">
      <c r="A14" s="7" t="inlineStr">
        <is>
          <t xml:space="preserve">  • Pakar Pass 1-Bulan Baru (Rp 49k) [A]</t>
        </is>
      </c>
      <c r="B14" s="22">
        <f>B11*0.24</f>
        <v/>
      </c>
      <c r="C14" s="22">
        <f>C11*0.24</f>
        <v/>
      </c>
      <c r="D14" s="22">
        <f>D11*0.24</f>
        <v/>
      </c>
      <c r="E14" s="22">
        <f>E11*0.24</f>
        <v/>
      </c>
      <c r="F14" s="22">
        <f>F11*0.24</f>
        <v/>
      </c>
      <c r="G14" s="22">
        <f>G11*0.24</f>
        <v/>
      </c>
      <c r="H14" s="22">
        <f>H11*0.24</f>
        <v/>
      </c>
      <c r="I14" s="22">
        <f>I11*0.24</f>
        <v/>
      </c>
      <c r="J14" s="22">
        <f>J11*0.24</f>
        <v/>
      </c>
      <c r="K14" s="22">
        <f>K11*0.24</f>
        <v/>
      </c>
      <c r="L14" s="22">
        <f>L11*0.24</f>
        <v/>
      </c>
      <c r="M14" s="22">
        <f>M11*0.24</f>
        <v/>
      </c>
      <c r="N14" s="22">
        <f>SUM(B14:M14)</f>
        <v/>
      </c>
      <c r="O14" s="4" t="inlineStr">
        <is>
          <t>24% dari pembeli baru memilih Pakar 1M</t>
        </is>
      </c>
    </row>
    <row r="15">
      <c r="A15" s="7" t="inlineStr">
        <is>
          <t xml:space="preserve">  • Pakar Pass 12-Bulan Baru (Rp 490k) [A]</t>
        </is>
      </c>
      <c r="B15" s="22">
        <f>B11*0.06</f>
        <v/>
      </c>
      <c r="C15" s="22">
        <f>C11*0.06</f>
        <v/>
      </c>
      <c r="D15" s="22">
        <f>D11*0.06</f>
        <v/>
      </c>
      <c r="E15" s="22">
        <f>E11*0.06</f>
        <v/>
      </c>
      <c r="F15" s="22">
        <f>F11*0.06</f>
        <v/>
      </c>
      <c r="G15" s="22">
        <f>G11*0.06</f>
        <v/>
      </c>
      <c r="H15" s="22">
        <f>H11*0.06</f>
        <v/>
      </c>
      <c r="I15" s="22">
        <f>I11*0.06</f>
        <v/>
      </c>
      <c r="J15" s="22">
        <f>J11*0.06</f>
        <v/>
      </c>
      <c r="K15" s="22">
        <f>K11*0.06</f>
        <v/>
      </c>
      <c r="L15" s="22">
        <f>L11*0.06</f>
        <v/>
      </c>
      <c r="M15" s="22">
        <f>M11*0.06</f>
        <v/>
      </c>
      <c r="N15" s="22">
        <f>SUM(B15:M15)</f>
        <v/>
      </c>
      <c r="O15" s="4" t="inlineStr">
        <is>
          <t>6% dari pembeli baru memilih Pakar 12M</t>
        </is>
      </c>
    </row>
    <row r="16" ht="20" customHeight="1">
      <c r="A16" s="3" t="inlineStr">
        <is>
          <t>II. PEMBELIAN ULANG PASS 1-BULAN (REPEAT PURCHASE / MANUAL RENEWAL) [A]</t>
        </is>
      </c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30" t="n"/>
    </row>
    <row r="17">
      <c r="A17" s="7" t="inlineStr">
        <is>
          <t>Tingkat Pembelian Ulang Manual (%) [A]</t>
        </is>
      </c>
      <c r="B17" s="23" t="n">
        <v>0.4</v>
      </c>
      <c r="C17" s="23" t="n">
        <v>0.4</v>
      </c>
      <c r="D17" s="23" t="n">
        <v>0.4</v>
      </c>
      <c r="E17" s="23" t="n">
        <v>0.4</v>
      </c>
      <c r="F17" s="23" t="n">
        <v>0.4</v>
      </c>
      <c r="G17" s="23" t="n">
        <v>0.4</v>
      </c>
      <c r="H17" s="23" t="n">
        <v>0.4</v>
      </c>
      <c r="I17" s="23" t="n">
        <v>0.4</v>
      </c>
      <c r="J17" s="23" t="n">
        <v>0.4</v>
      </c>
      <c r="K17" s="23" t="n">
        <v>0.4</v>
      </c>
      <c r="L17" s="23" t="n">
        <v>0.4</v>
      </c>
      <c r="M17" s="23" t="n">
        <v>0.4</v>
      </c>
      <c r="N17" s="23">
        <f>AVERAGE(B17:M17)</f>
        <v/>
      </c>
      <c r="O17" s="4" t="inlineStr">
        <is>
          <t>Persentase pembeli 1M yang manual beli lagi saat habis</t>
        </is>
      </c>
    </row>
    <row r="18">
      <c r="A18" s="7" t="inlineStr">
        <is>
          <t>Pembelian Ulang Investor Pass 1-Bulan [A]</t>
        </is>
      </c>
      <c r="B18" s="22" t="n">
        <v>0</v>
      </c>
      <c r="C18" s="22">
        <f>B27*C17</f>
        <v/>
      </c>
      <c r="D18" s="22">
        <f>C27*D17</f>
        <v/>
      </c>
      <c r="E18" s="22">
        <f>D27*E17</f>
        <v/>
      </c>
      <c r="F18" s="22">
        <f>E27*F17</f>
        <v/>
      </c>
      <c r="G18" s="22">
        <f>F27*G17</f>
        <v/>
      </c>
      <c r="H18" s="22">
        <f>G27*H17</f>
        <v/>
      </c>
      <c r="I18" s="22">
        <f>H27*I17</f>
        <v/>
      </c>
      <c r="J18" s="22">
        <f>I27*J17</f>
        <v/>
      </c>
      <c r="K18" s="22">
        <f>J27*K17</f>
        <v/>
      </c>
      <c r="L18" s="22">
        <f>K27*L17</f>
        <v/>
      </c>
      <c r="M18" s="22">
        <f>L27*M17</f>
        <v/>
      </c>
      <c r="N18" s="22">
        <f>SUM(B18:M18)</f>
        <v/>
      </c>
      <c r="O18" s="4" t="inlineStr">
        <is>
          <t>Pembeli Investor 1M bulan lalu yang beli pass baru</t>
        </is>
      </c>
    </row>
    <row r="19">
      <c r="A19" s="7" t="inlineStr">
        <is>
          <t>Pembelian Ulang Pakar Pass 1-Bulan [A]</t>
        </is>
      </c>
      <c r="B19" s="22" t="n">
        <v>0</v>
      </c>
      <c r="C19" s="22">
        <f>B29*C17</f>
        <v/>
      </c>
      <c r="D19" s="22">
        <f>C29*D17</f>
        <v/>
      </c>
      <c r="E19" s="22">
        <f>D29*E17</f>
        <v/>
      </c>
      <c r="F19" s="22">
        <f>E29*F17</f>
        <v/>
      </c>
      <c r="G19" s="22">
        <f>F29*G17</f>
        <v/>
      </c>
      <c r="H19" s="22">
        <f>G29*H17</f>
        <v/>
      </c>
      <c r="I19" s="22">
        <f>H29*I17</f>
        <v/>
      </c>
      <c r="J19" s="22">
        <f>I29*J17</f>
        <v/>
      </c>
      <c r="K19" s="22">
        <f>J29*K17</f>
        <v/>
      </c>
      <c r="L19" s="22">
        <f>K29*L17</f>
        <v/>
      </c>
      <c r="M19" s="22">
        <f>L29*M17</f>
        <v/>
      </c>
      <c r="N19" s="22">
        <f>SUM(B19:M19)</f>
        <v/>
      </c>
      <c r="O19" s="4" t="inlineStr">
        <is>
          <t>Pembeli Pakar 1M bulan lalu yang beli pass baru</t>
        </is>
      </c>
    </row>
    <row r="20" ht="20" customHeight="1">
      <c r="A20" s="3" t="inlineStr">
        <is>
          <t>III. JALUR UPGRADE TIER (INVESTOR -&gt; PAKAR) [S/A]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30" t="n"/>
    </row>
    <row r="21">
      <c r="A21" s="7" t="inlineStr">
        <is>
          <t>Tingkat Konversi Upgrade Investor ke Pakar (%) [A]</t>
        </is>
      </c>
      <c r="B21" s="23" t="n">
        <v>0.07000000000000001</v>
      </c>
      <c r="C21" s="23" t="n">
        <v>0.07000000000000001</v>
      </c>
      <c r="D21" s="23" t="n">
        <v>0.07000000000000001</v>
      </c>
      <c r="E21" s="23" t="n">
        <v>0.07000000000000001</v>
      </c>
      <c r="F21" s="23" t="n">
        <v>0.07000000000000001</v>
      </c>
      <c r="G21" s="23" t="n">
        <v>0.07000000000000001</v>
      </c>
      <c r="H21" s="23" t="n">
        <v>0.07000000000000001</v>
      </c>
      <c r="I21" s="23" t="n">
        <v>0.07000000000000001</v>
      </c>
      <c r="J21" s="23" t="n">
        <v>0.07000000000000001</v>
      </c>
      <c r="K21" s="23" t="n">
        <v>0.07000000000000001</v>
      </c>
      <c r="L21" s="23" t="n">
        <v>0.07000000000000001</v>
      </c>
      <c r="M21" s="23" t="n">
        <v>0.07000000000000001</v>
      </c>
      <c r="N21" s="23">
        <f>AVERAGE(B21:M21)</f>
        <v/>
      </c>
      <c r="O21" s="4" t="inlineStr">
        <is>
          <t>Persentase pemegang Investor yang upgrade ke Pakar</t>
        </is>
      </c>
    </row>
    <row r="22">
      <c r="A22" s="7" t="inlineStr">
        <is>
          <t>Jumlah Akun Investor 1M yang Upgrade [A]</t>
        </is>
      </c>
      <c r="B22" s="22">
        <f>(B12+B18)*B21</f>
        <v/>
      </c>
      <c r="C22" s="22">
        <f>(C12+C18)*C21</f>
        <v/>
      </c>
      <c r="D22" s="22">
        <f>(D12+D18)*D21</f>
        <v/>
      </c>
      <c r="E22" s="22">
        <f>(E12+E18)*E21</f>
        <v/>
      </c>
      <c r="F22" s="22">
        <f>(F12+F18)*F21</f>
        <v/>
      </c>
      <c r="G22" s="22">
        <f>(G12+G18)*G21</f>
        <v/>
      </c>
      <c r="H22" s="22">
        <f>(H12+H18)*H21</f>
        <v/>
      </c>
      <c r="I22" s="22">
        <f>(I12+I18)*I21</f>
        <v/>
      </c>
      <c r="J22" s="22">
        <f>(J12+J18)*J21</f>
        <v/>
      </c>
      <c r="K22" s="22">
        <f>(K12+K18)*K21</f>
        <v/>
      </c>
      <c r="L22" s="22">
        <f>(L12+L18)*L21</f>
        <v/>
      </c>
      <c r="M22" s="22">
        <f>(M12+M18)*M21</f>
        <v/>
      </c>
      <c r="N22" s="22">
        <f>SUM(B22:M22)</f>
        <v/>
      </c>
      <c r="O22" s="4" t="inlineStr">
        <is>
          <t>Akun Investor 1M yang bayar selisih Rp 30k ke Pakar</t>
        </is>
      </c>
    </row>
    <row r="23">
      <c r="A23" s="7" t="inlineStr">
        <is>
          <t>Pendapatan Kas Upgrade 1-Bulan (Rp 30k) [S]</t>
        </is>
      </c>
      <c r="B23" s="22">
        <f>B22*Model_Parameters!$B$16</f>
        <v/>
      </c>
      <c r="C23" s="22">
        <f>C22*Model_Parameters!$B$16</f>
        <v/>
      </c>
      <c r="D23" s="22">
        <f>D22*Model_Parameters!$B$16</f>
        <v/>
      </c>
      <c r="E23" s="22">
        <f>E22*Model_Parameters!$B$16</f>
        <v/>
      </c>
      <c r="F23" s="22">
        <f>F22*Model_Parameters!$B$16</f>
        <v/>
      </c>
      <c r="G23" s="22">
        <f>G22*Model_Parameters!$B$16</f>
        <v/>
      </c>
      <c r="H23" s="22">
        <f>H22*Model_Parameters!$B$16</f>
        <v/>
      </c>
      <c r="I23" s="22">
        <f>I22*Model_Parameters!$B$16</f>
        <v/>
      </c>
      <c r="J23" s="22">
        <f>J22*Model_Parameters!$B$16</f>
        <v/>
      </c>
      <c r="K23" s="22">
        <f>K22*Model_Parameters!$B$16</f>
        <v/>
      </c>
      <c r="L23" s="22">
        <f>L22*Model_Parameters!$B$16</f>
        <v/>
      </c>
      <c r="M23" s="22">
        <f>M22*Model_Parameters!$B$16</f>
        <v/>
      </c>
      <c r="N23" s="22">
        <f>SUM(B23:M23)</f>
        <v/>
      </c>
      <c r="O23" s="4" t="inlineStr">
        <is>
          <t>Kas masuk upgrade bulanan: Akun x Rp 30.000</t>
        </is>
      </c>
    </row>
    <row r="24">
      <c r="A24" s="7" t="inlineStr">
        <is>
          <t>Pendapatan Kas Upgrade 12-Bulan (Prorata Rp 225k) [A]</t>
        </is>
      </c>
      <c r="B24" s="22">
        <f>(B13*(B21*0.5))*Model_Parameters!$B$17</f>
        <v/>
      </c>
      <c r="C24" s="22">
        <f>(C13*(C21*0.5))*Model_Parameters!$B$17</f>
        <v/>
      </c>
      <c r="D24" s="22">
        <f>(D13*(D21*0.5))*Model_Parameters!$B$17</f>
        <v/>
      </c>
      <c r="E24" s="22">
        <f>(E13*(E21*0.5))*Model_Parameters!$B$17</f>
        <v/>
      </c>
      <c r="F24" s="22">
        <f>(F13*(F21*0.5))*Model_Parameters!$B$17</f>
        <v/>
      </c>
      <c r="G24" s="22">
        <f>(G13*(G21*0.5))*Model_Parameters!$B$17</f>
        <v/>
      </c>
      <c r="H24" s="22">
        <f>(H13*(H21*0.5))*Model_Parameters!$B$17</f>
        <v/>
      </c>
      <c r="I24" s="22">
        <f>(I13*(I21*0.5))*Model_Parameters!$B$17</f>
        <v/>
      </c>
      <c r="J24" s="22">
        <f>(J13*(J21*0.5))*Model_Parameters!$B$17</f>
        <v/>
      </c>
      <c r="K24" s="22">
        <f>(K13*(K21*0.5))*Model_Parameters!$B$17</f>
        <v/>
      </c>
      <c r="L24" s="22">
        <f>(L13*(L21*0.5))*Model_Parameters!$B$17</f>
        <v/>
      </c>
      <c r="M24" s="22">
        <f>(M13*(M21*0.5))*Model_Parameters!$B$17</f>
        <v/>
      </c>
      <c r="N24" s="22">
        <f>SUM(B24:M24)</f>
        <v/>
      </c>
      <c r="O24" s="4" t="inlineStr">
        <is>
          <t>Kas masuk upgrade tahunan: Prorata sisa bulan</t>
        </is>
      </c>
    </row>
    <row r="25">
      <c r="A25" s="6" t="inlineStr">
        <is>
          <t>TOTAL KAS MASUK DARI UPGRADE TIER [A]</t>
        </is>
      </c>
      <c r="B25" s="8">
        <f>B23+B24</f>
        <v/>
      </c>
      <c r="C25" s="8">
        <f>C23+C24</f>
        <v/>
      </c>
      <c r="D25" s="8">
        <f>D23+D24</f>
        <v/>
      </c>
      <c r="E25" s="8">
        <f>E23+E24</f>
        <v/>
      </c>
      <c r="F25" s="8">
        <f>F23+F24</f>
        <v/>
      </c>
      <c r="G25" s="8">
        <f>G23+G24</f>
        <v/>
      </c>
      <c r="H25" s="8">
        <f>H23+H24</f>
        <v/>
      </c>
      <c r="I25" s="8">
        <f>I23+I24</f>
        <v/>
      </c>
      <c r="J25" s="8">
        <f>J23+J24</f>
        <v/>
      </c>
      <c r="K25" s="8">
        <f>K23+K24</f>
        <v/>
      </c>
      <c r="L25" s="8">
        <f>L23+L24</f>
        <v/>
      </c>
      <c r="M25" s="8">
        <f>M23+M24</f>
        <v/>
      </c>
      <c r="N25" s="8">
        <f>SUM(B25:M25)</f>
        <v/>
      </c>
      <c r="O25" s="6" t="inlineStr">
        <is>
          <t>Total penerimaan kas dari seluruh transaksi upgrade</t>
        </is>
      </c>
    </row>
    <row r="26" ht="20" customHeight="1">
      <c r="A26" s="3" t="inlineStr">
        <is>
          <t>IV. DINAMIKA PENGGUNA AKTIF BERBAYAR KAS &amp; AKUN PROMOSI (COMP) [S/A]</t>
        </is>
      </c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30" t="n"/>
    </row>
    <row r="27">
      <c r="A27" s="7" t="inlineStr">
        <is>
          <t>Pengguna Aktif Investor Pass 1-Bulan [A]</t>
        </is>
      </c>
      <c r="B27" s="22">
        <f>(B12+B18)-B22</f>
        <v/>
      </c>
      <c r="C27" s="22">
        <f>(C12+C18)-C22</f>
        <v/>
      </c>
      <c r="D27" s="22">
        <f>(D12+D18)-D22</f>
        <v/>
      </c>
      <c r="E27" s="22">
        <f>(E12+E18)-E22</f>
        <v/>
      </c>
      <c r="F27" s="22">
        <f>(F12+F18)-F22</f>
        <v/>
      </c>
      <c r="G27" s="22">
        <f>(G12+G18)-G22</f>
        <v/>
      </c>
      <c r="H27" s="22">
        <f>(H12+H18)-H22</f>
        <v/>
      </c>
      <c r="I27" s="22">
        <f>(I12+I18)-I22</f>
        <v/>
      </c>
      <c r="J27" s="22">
        <f>(J12+J18)-J22</f>
        <v/>
      </c>
      <c r="K27" s="22">
        <f>(K12+K18)-K22</f>
        <v/>
      </c>
      <c r="L27" s="22">
        <f>(L12+L18)-L22</f>
        <v/>
      </c>
      <c r="M27" s="22">
        <f>(M12+M18)-M22</f>
        <v/>
      </c>
      <c r="N27" s="22">
        <f>M27</f>
        <v/>
      </c>
      <c r="O27" s="4" t="inlineStr">
        <is>
          <t>Investor 1M aktif (dikurangi yang pindah ke Pakar)</t>
        </is>
      </c>
    </row>
    <row r="28">
      <c r="A28" s="7" t="inlineStr">
        <is>
          <t>Pengguna Aktif Investor Pass 12-Bulan (Kumulatif 365 Hari) [A]</t>
        </is>
      </c>
      <c r="B28" s="22">
        <f>B13</f>
        <v/>
      </c>
      <c r="C28" s="22">
        <f>B28+C13</f>
        <v/>
      </c>
      <c r="D28" s="22">
        <f>C28+D13</f>
        <v/>
      </c>
      <c r="E28" s="22">
        <f>D28+E13</f>
        <v/>
      </c>
      <c r="F28" s="22">
        <f>E28+F13</f>
        <v/>
      </c>
      <c r="G28" s="22">
        <f>F28+G13</f>
        <v/>
      </c>
      <c r="H28" s="22">
        <f>G28+H13</f>
        <v/>
      </c>
      <c r="I28" s="22">
        <f>H28+I13</f>
        <v/>
      </c>
      <c r="J28" s="22">
        <f>I28+J13</f>
        <v/>
      </c>
      <c r="K28" s="22">
        <f>J28+K13</f>
        <v/>
      </c>
      <c r="L28" s="22">
        <f>K28+L13</f>
        <v/>
      </c>
      <c r="M28" s="22">
        <f>L28+M13</f>
        <v/>
      </c>
      <c r="N28" s="22">
        <f>M28</f>
        <v/>
      </c>
      <c r="O28" s="4" t="inlineStr">
        <is>
          <t>Investor 12M aktif (tidak ada churn di Tahun ke-1)</t>
        </is>
      </c>
    </row>
    <row r="29">
      <c r="A29" s="7" t="inlineStr">
        <is>
          <t>Pengguna Aktif Pakar Pass 1-Bulan [A]</t>
        </is>
      </c>
      <c r="B29" s="22">
        <f>(B14+B19)+B22</f>
        <v/>
      </c>
      <c r="C29" s="22">
        <f>(C14+C19)+C22</f>
        <v/>
      </c>
      <c r="D29" s="22">
        <f>(D14+D19)+D22</f>
        <v/>
      </c>
      <c r="E29" s="22">
        <f>(E14+E19)+E22</f>
        <v/>
      </c>
      <c r="F29" s="22">
        <f>(F14+F19)+F22</f>
        <v/>
      </c>
      <c r="G29" s="22">
        <f>(G14+G19)+G22</f>
        <v/>
      </c>
      <c r="H29" s="22">
        <f>(H14+H19)+H22</f>
        <v/>
      </c>
      <c r="I29" s="22">
        <f>(I14+I19)+I22</f>
        <v/>
      </c>
      <c r="J29" s="22">
        <f>(J14+J19)+J22</f>
        <v/>
      </c>
      <c r="K29" s="22">
        <f>(K14+K19)+K22</f>
        <v/>
      </c>
      <c r="L29" s="22">
        <f>(L14+L19)+L22</f>
        <v/>
      </c>
      <c r="M29" s="22">
        <f>(M14+M19)+M22</f>
        <v/>
      </c>
      <c r="N29" s="22">
        <f>M29</f>
        <v/>
      </c>
      <c r="O29" s="4" t="inlineStr">
        <is>
          <t>Pakar 1M aktif (termasuk limpahan upgrade)</t>
        </is>
      </c>
    </row>
    <row r="30">
      <c r="A30" s="7" t="inlineStr">
        <is>
          <t>Pengguna Aktif Pakar Pass 12-Bulan (Kumulatif 365 Hari) [A]</t>
        </is>
      </c>
      <c r="B30" s="22">
        <f>B15</f>
        <v/>
      </c>
      <c r="C30" s="22">
        <f>B30+C15</f>
        <v/>
      </c>
      <c r="D30" s="22">
        <f>C30+D15</f>
        <v/>
      </c>
      <c r="E30" s="22">
        <f>D30+E15</f>
        <v/>
      </c>
      <c r="F30" s="22">
        <f>E30+F15</f>
        <v/>
      </c>
      <c r="G30" s="22">
        <f>F30+G15</f>
        <v/>
      </c>
      <c r="H30" s="22">
        <f>G30+H15</f>
        <v/>
      </c>
      <c r="I30" s="22">
        <f>H30+I15</f>
        <v/>
      </c>
      <c r="J30" s="22">
        <f>I30+J15</f>
        <v/>
      </c>
      <c r="K30" s="22">
        <f>J30+K15</f>
        <v/>
      </c>
      <c r="L30" s="22">
        <f>K30+L15</f>
        <v/>
      </c>
      <c r="M30" s="22">
        <f>L30+M15</f>
        <v/>
      </c>
      <c r="N30" s="22">
        <f>M30</f>
        <v/>
      </c>
      <c r="O30" s="4" t="inlineStr">
        <is>
          <t>Pakar 12M aktif (tidak ada churn di Tahun ke-1)</t>
        </is>
      </c>
    </row>
    <row r="31">
      <c r="A31" s="6" t="inlineStr">
        <is>
          <t>TOTAL PENGGUNA AKTIF BERBAYAR KAS [A]</t>
        </is>
      </c>
      <c r="B31" s="8">
        <f>SUM(B27:B30)</f>
        <v/>
      </c>
      <c r="C31" s="8">
        <f>SUM(C27:C30)</f>
        <v/>
      </c>
      <c r="D31" s="8">
        <f>SUM(D27:D30)</f>
        <v/>
      </c>
      <c r="E31" s="8">
        <f>SUM(E27:E30)</f>
        <v/>
      </c>
      <c r="F31" s="8">
        <f>SUM(F27:F30)</f>
        <v/>
      </c>
      <c r="G31" s="8">
        <f>SUM(G27:G30)</f>
        <v/>
      </c>
      <c r="H31" s="8">
        <f>SUM(H27:H30)</f>
        <v/>
      </c>
      <c r="I31" s="8">
        <f>SUM(I27:I30)</f>
        <v/>
      </c>
      <c r="J31" s="8">
        <f>SUM(J27:J30)</f>
        <v/>
      </c>
      <c r="K31" s="8">
        <f>SUM(K27:K30)</f>
        <v/>
      </c>
      <c r="L31" s="8">
        <f>SUM(L27:L30)</f>
        <v/>
      </c>
      <c r="M31" s="8">
        <f>SUM(M27:M30)</f>
        <v/>
      </c>
      <c r="N31" s="8">
        <f>M31</f>
        <v/>
      </c>
      <c r="O31" s="6" t="inlineStr">
        <is>
          <t>Pengguna berbayar riil yang memiliki pass aktif</t>
        </is>
      </c>
    </row>
    <row r="32">
      <c r="A32" s="7" t="inlineStr">
        <is>
          <t>Marketing Comp Accounts (Pakar Gratis) [S]</t>
        </is>
      </c>
      <c r="B32" s="22">
        <f>Model_Parameters!$B$23</f>
        <v/>
      </c>
      <c r="C32" s="22">
        <f>Model_Parameters!$B$23</f>
        <v/>
      </c>
      <c r="D32" s="22">
        <f>Model_Parameters!$B$23</f>
        <v/>
      </c>
      <c r="E32" s="22">
        <f>Model_Parameters!$B$23</f>
        <v/>
      </c>
      <c r="F32" s="22">
        <f>Model_Parameters!$B$23</f>
        <v/>
      </c>
      <c r="G32" s="22">
        <f>Model_Parameters!$B$23</f>
        <v/>
      </c>
      <c r="H32" s="22">
        <f>Model_Parameters!$B$23</f>
        <v/>
      </c>
      <c r="I32" s="22">
        <f>Model_Parameters!$B$23</f>
        <v/>
      </c>
      <c r="J32" s="22">
        <f>Model_Parameters!$B$23</f>
        <v/>
      </c>
      <c r="K32" s="22">
        <f>Model_Parameters!$B$23</f>
        <v/>
      </c>
      <c r="L32" s="22">
        <f>Model_Parameters!$B$23</f>
        <v/>
      </c>
      <c r="M32" s="22">
        <f>Model_Parameters!$B$23</f>
        <v/>
      </c>
      <c r="N32" s="22">
        <f>M32</f>
        <v/>
      </c>
      <c r="O32" s="4" t="inlineStr">
        <is>
          <t>5 akun Pakar promosi gratis (Influencer/Komunitas)</t>
        </is>
      </c>
    </row>
    <row r="33">
      <c r="A33" s="6" t="inlineStr">
        <is>
          <t>TOTAL AKUN AKTIF MENIKMATI AKSES [A]</t>
        </is>
      </c>
      <c r="B33" s="8">
        <f>B31+B32</f>
        <v/>
      </c>
      <c r="C33" s="8">
        <f>C31+C32</f>
        <v/>
      </c>
      <c r="D33" s="8">
        <f>D31+D32</f>
        <v/>
      </c>
      <c r="E33" s="8">
        <f>E31+E32</f>
        <v/>
      </c>
      <c r="F33" s="8">
        <f>F31+F32</f>
        <v/>
      </c>
      <c r="G33" s="8">
        <f>G31+G32</f>
        <v/>
      </c>
      <c r="H33" s="8">
        <f>H31+H32</f>
        <v/>
      </c>
      <c r="I33" s="8">
        <f>I31+I32</f>
        <v/>
      </c>
      <c r="J33" s="8">
        <f>J31+J32</f>
        <v/>
      </c>
      <c r="K33" s="8">
        <f>K31+K32</f>
        <v/>
      </c>
      <c r="L33" s="8">
        <f>L31+L32</f>
        <v/>
      </c>
      <c r="M33" s="8">
        <f>M31+M32</f>
        <v/>
      </c>
      <c r="N33" s="8">
        <f>M33</f>
        <v/>
      </c>
      <c r="O33" s="6" t="inlineStr">
        <is>
          <t>Total akun aktif (Berbayar riil + 5 Akun Comp)</t>
        </is>
      </c>
    </row>
    <row r="34">
      <c r="A34" s="24" t="inlineStr">
        <is>
          <t>Pemicu Migrasi VPS Fase 0 (&lt;5 Paying Users) [S]</t>
        </is>
      </c>
      <c r="B34" s="25">
        <f>B31</f>
        <v/>
      </c>
      <c r="C34" s="25">
        <f>C31</f>
        <v/>
      </c>
      <c r="D34" s="25">
        <f>D31</f>
        <v/>
      </c>
      <c r="E34" s="25">
        <f>E31</f>
        <v/>
      </c>
      <c r="F34" s="25">
        <f>F31</f>
        <v/>
      </c>
      <c r="G34" s="25">
        <f>G31</f>
        <v/>
      </c>
      <c r="H34" s="25">
        <f>H31</f>
        <v/>
      </c>
      <c r="I34" s="25">
        <f>I31</f>
        <v/>
      </c>
      <c r="J34" s="25">
        <f>J31</f>
        <v/>
      </c>
      <c r="K34" s="25">
        <f>K31</f>
        <v/>
      </c>
      <c r="L34" s="25">
        <f>L31</f>
        <v/>
      </c>
      <c r="M34" s="25">
        <f>M31</f>
        <v/>
      </c>
      <c r="N34" s="25">
        <f>M34</f>
        <v/>
      </c>
      <c r="O34" s="24" t="inlineStr">
        <is>
          <t>AUDIT: Comp Accounts TIDAK DIHITUNG! Hanya kas &gt; Rp 0</t>
        </is>
      </c>
    </row>
    <row r="35" ht="20" customHeight="1">
      <c r="A35" s="3" t="inlineStr">
        <is>
          <t>V. PENERIMAAN KAS BRUTO (IDR) [S/A]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30" t="n"/>
    </row>
    <row r="36">
      <c r="A36" s="7" t="inlineStr">
        <is>
          <t>Penerimaan Investor Pass 1-Bulan (Rp 19k) [S]</t>
        </is>
      </c>
      <c r="B36" s="22">
        <f>(B12+B18)*Model_Parameters!$B$7</f>
        <v/>
      </c>
      <c r="C36" s="22">
        <f>(C12+C18)*Model_Parameters!$B$7</f>
        <v/>
      </c>
      <c r="D36" s="22">
        <f>(D12+D18)*Model_Parameters!$B$7</f>
        <v/>
      </c>
      <c r="E36" s="22">
        <f>(E12+E18)*Model_Parameters!$B$7</f>
        <v/>
      </c>
      <c r="F36" s="22">
        <f>(F12+F18)*Model_Parameters!$B$7</f>
        <v/>
      </c>
      <c r="G36" s="22">
        <f>(G12+G18)*Model_Parameters!$B$7</f>
        <v/>
      </c>
      <c r="H36" s="22">
        <f>(H12+H18)*Model_Parameters!$B$7</f>
        <v/>
      </c>
      <c r="I36" s="22">
        <f>(I12+I18)*Model_Parameters!$B$7</f>
        <v/>
      </c>
      <c r="J36" s="22">
        <f>(J12+J18)*Model_Parameters!$B$7</f>
        <v/>
      </c>
      <c r="K36" s="22">
        <f>(K12+K18)*Model_Parameters!$B$7</f>
        <v/>
      </c>
      <c r="L36" s="22">
        <f>(L12+L18)*Model_Parameters!$B$7</f>
        <v/>
      </c>
      <c r="M36" s="22">
        <f>(M12+M18)*Model_Parameters!$B$7</f>
        <v/>
      </c>
      <c r="N36" s="22">
        <f>SUM(B36:M36)</f>
        <v/>
      </c>
      <c r="O36" s="4" t="inlineStr">
        <is>
          <t>Penjualan baru + perpanjangan manual Investor 1M</t>
        </is>
      </c>
    </row>
    <row r="37">
      <c r="A37" s="7" t="inlineStr">
        <is>
          <t>Penerimaan Investor Pass 12-Bulan (Rp 190k) [S]</t>
        </is>
      </c>
      <c r="B37" s="22">
        <f>B13*Model_Parameters!$B$8</f>
        <v/>
      </c>
      <c r="C37" s="22">
        <f>C13*Model_Parameters!$B$8</f>
        <v/>
      </c>
      <c r="D37" s="22">
        <f>D13*Model_Parameters!$B$8</f>
        <v/>
      </c>
      <c r="E37" s="22">
        <f>E13*Model_Parameters!$B$8</f>
        <v/>
      </c>
      <c r="F37" s="22">
        <f>F13*Model_Parameters!$B$8</f>
        <v/>
      </c>
      <c r="G37" s="22">
        <f>G13*Model_Parameters!$B$8</f>
        <v/>
      </c>
      <c r="H37" s="22">
        <f>H13*Model_Parameters!$B$8</f>
        <v/>
      </c>
      <c r="I37" s="22">
        <f>I13*Model_Parameters!$B$8</f>
        <v/>
      </c>
      <c r="J37" s="22">
        <f>J13*Model_Parameters!$B$8</f>
        <v/>
      </c>
      <c r="K37" s="22">
        <f>K13*Model_Parameters!$B$8</f>
        <v/>
      </c>
      <c r="L37" s="22">
        <f>L13*Model_Parameters!$B$8</f>
        <v/>
      </c>
      <c r="M37" s="22">
        <f>M13*Model_Parameters!$B$8</f>
        <v/>
      </c>
      <c r="N37" s="22">
        <f>SUM(B37:M37)</f>
        <v/>
      </c>
      <c r="O37" s="4" t="inlineStr">
        <is>
          <t>Penjualan Investor 12M di muka</t>
        </is>
      </c>
    </row>
    <row r="38">
      <c r="A38" s="7" t="inlineStr">
        <is>
          <t>Penerimaan Pakar Pass 1-Bulan (Rp 49k) [S]</t>
        </is>
      </c>
      <c r="B38" s="22">
        <f>(B14+B19)*Model_Parameters!$B$9</f>
        <v/>
      </c>
      <c r="C38" s="22">
        <f>(C14+C19)*Model_Parameters!$B$9</f>
        <v/>
      </c>
      <c r="D38" s="22">
        <f>(D14+D19)*Model_Parameters!$B$9</f>
        <v/>
      </c>
      <c r="E38" s="22">
        <f>(E14+E19)*Model_Parameters!$B$9</f>
        <v/>
      </c>
      <c r="F38" s="22">
        <f>(F14+F19)*Model_Parameters!$B$9</f>
        <v/>
      </c>
      <c r="G38" s="22">
        <f>(G14+G19)*Model_Parameters!$B$9</f>
        <v/>
      </c>
      <c r="H38" s="22">
        <f>(H14+H19)*Model_Parameters!$B$9</f>
        <v/>
      </c>
      <c r="I38" s="22">
        <f>(I14+I19)*Model_Parameters!$B$9</f>
        <v/>
      </c>
      <c r="J38" s="22">
        <f>(J14+J19)*Model_Parameters!$B$9</f>
        <v/>
      </c>
      <c r="K38" s="22">
        <f>(K14+K19)*Model_Parameters!$B$9</f>
        <v/>
      </c>
      <c r="L38" s="22">
        <f>(L14+L19)*Model_Parameters!$B$9</f>
        <v/>
      </c>
      <c r="M38" s="22">
        <f>(M14+M19)*Model_Parameters!$B$9</f>
        <v/>
      </c>
      <c r="N38" s="22">
        <f>SUM(B38:M38)</f>
        <v/>
      </c>
      <c r="O38" s="4" t="inlineStr">
        <is>
          <t>Penjualan baru + perpanjangan manual Pakar 1M</t>
        </is>
      </c>
    </row>
    <row r="39">
      <c r="A39" s="7" t="inlineStr">
        <is>
          <t>Penerimaan Pakar Pass 12-Bulan (Rp 490k) [S]</t>
        </is>
      </c>
      <c r="B39" s="22">
        <f>B15*Model_Parameters!$B$10</f>
        <v/>
      </c>
      <c r="C39" s="22">
        <f>C15*Model_Parameters!$B$10</f>
        <v/>
      </c>
      <c r="D39" s="22">
        <f>D15*Model_Parameters!$B$10</f>
        <v/>
      </c>
      <c r="E39" s="22">
        <f>E15*Model_Parameters!$B$10</f>
        <v/>
      </c>
      <c r="F39" s="22">
        <f>F15*Model_Parameters!$B$10</f>
        <v/>
      </c>
      <c r="G39" s="22">
        <f>G15*Model_Parameters!$B$10</f>
        <v/>
      </c>
      <c r="H39" s="22">
        <f>H15*Model_Parameters!$B$10</f>
        <v/>
      </c>
      <c r="I39" s="22">
        <f>I15*Model_Parameters!$B$10</f>
        <v/>
      </c>
      <c r="J39" s="22">
        <f>J15*Model_Parameters!$B$10</f>
        <v/>
      </c>
      <c r="K39" s="22">
        <f>K15*Model_Parameters!$B$10</f>
        <v/>
      </c>
      <c r="L39" s="22">
        <f>L15*Model_Parameters!$B$10</f>
        <v/>
      </c>
      <c r="M39" s="22">
        <f>M15*Model_Parameters!$B$10</f>
        <v/>
      </c>
      <c r="N39" s="22">
        <f>SUM(B39:M39)</f>
        <v/>
      </c>
      <c r="O39" s="4" t="inlineStr">
        <is>
          <t>Penjualan Pakar 12M di muka</t>
        </is>
      </c>
    </row>
    <row r="40">
      <c r="A40" s="7" t="inlineStr">
        <is>
          <t>Penerimaan Upgrade Tier Investor -&gt; Pakar [A]</t>
        </is>
      </c>
      <c r="B40" s="22">
        <f>B25</f>
        <v/>
      </c>
      <c r="C40" s="22">
        <f>C25</f>
        <v/>
      </c>
      <c r="D40" s="22">
        <f>D25</f>
        <v/>
      </c>
      <c r="E40" s="22">
        <f>E25</f>
        <v/>
      </c>
      <c r="F40" s="22">
        <f>F25</f>
        <v/>
      </c>
      <c r="G40" s="22">
        <f>G25</f>
        <v/>
      </c>
      <c r="H40" s="22">
        <f>H25</f>
        <v/>
      </c>
      <c r="I40" s="22">
        <f>I25</f>
        <v/>
      </c>
      <c r="J40" s="22">
        <f>J25</f>
        <v/>
      </c>
      <c r="K40" s="22">
        <f>K25</f>
        <v/>
      </c>
      <c r="L40" s="22">
        <f>L25</f>
        <v/>
      </c>
      <c r="M40" s="22">
        <f>M25</f>
        <v/>
      </c>
      <c r="N40" s="22">
        <f>SUM(B40:M40)</f>
        <v/>
      </c>
      <c r="O40" s="4" t="inlineStr">
        <is>
          <t>Kas masuk tambahan dari upgrade tier</t>
        </is>
      </c>
    </row>
    <row r="41">
      <c r="A41" s="12" t="inlineStr">
        <is>
          <t>TOTAL PENERIMAAN KAS BRUTO [A]</t>
        </is>
      </c>
      <c r="B41" s="14">
        <f>SUM(B36:B40)</f>
        <v/>
      </c>
      <c r="C41" s="14">
        <f>SUM(C36:C40)</f>
        <v/>
      </c>
      <c r="D41" s="14">
        <f>SUM(D36:D40)</f>
        <v/>
      </c>
      <c r="E41" s="14">
        <f>SUM(E36:E40)</f>
        <v/>
      </c>
      <c r="F41" s="14">
        <f>SUM(F36:F40)</f>
        <v/>
      </c>
      <c r="G41" s="14">
        <f>SUM(G36:G40)</f>
        <v/>
      </c>
      <c r="H41" s="14">
        <f>SUM(H36:H40)</f>
        <v/>
      </c>
      <c r="I41" s="14">
        <f>SUM(I36:I40)</f>
        <v/>
      </c>
      <c r="J41" s="14">
        <f>SUM(J36:J40)</f>
        <v/>
      </c>
      <c r="K41" s="14">
        <f>SUM(K36:K40)</f>
        <v/>
      </c>
      <c r="L41" s="14">
        <f>SUM(L36:L40)</f>
        <v/>
      </c>
      <c r="M41" s="14">
        <f>SUM(M36:M40)</f>
        <v/>
      </c>
      <c r="N41" s="14">
        <f>SUM(B41:M41)</f>
        <v/>
      </c>
      <c r="O41" s="12" t="inlineStr">
        <is>
          <t>Total kas masuk kotor ke payment gateway</t>
        </is>
      </c>
    </row>
    <row r="42" ht="20" customHeight="1">
      <c r="A42" s="3" t="inlineStr">
        <is>
          <t>VI. BIAYA VARIABEL &amp; PAYMENT GATEWAY (IDR) [S/A]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30" t="n"/>
    </row>
    <row r="43">
      <c r="A43" s="7" t="inlineStr">
        <is>
          <t>Biaya Payment Gateway (QRIS-First ~1,8%) [S]</t>
        </is>
      </c>
      <c r="B43" s="22">
        <f>(B12+B18)*504+B13*2111+(B14+B19)*786+B15*4931+B40*0.015</f>
        <v/>
      </c>
      <c r="C43" s="22">
        <f>(C12+C18)*504+C13*2111+(C14+C19)*786+C15*4931+C40*0.015</f>
        <v/>
      </c>
      <c r="D43" s="22">
        <f>(D12+D18)*504+D13*2111+(D14+D19)*786+D15*4931+D40*0.015</f>
        <v/>
      </c>
      <c r="E43" s="22">
        <f>(E12+E18)*504+E13*2111+(E14+E19)*786+E15*4931+E40*0.015</f>
        <v/>
      </c>
      <c r="F43" s="22">
        <f>(F12+F18)*504+F13*2111+(F14+F19)*786+F15*4931+F40*0.015</f>
        <v/>
      </c>
      <c r="G43" s="22">
        <f>(G12+G18)*504+G13*2111+(G14+G19)*786+G15*4931+G40*0.015</f>
        <v/>
      </c>
      <c r="H43" s="22">
        <f>(H12+H18)*504+H13*2111+(H14+H19)*786+H15*4931+H40*0.015</f>
        <v/>
      </c>
      <c r="I43" s="22">
        <f>(I12+I18)*504+I13*2111+(I14+I19)*786+I15*4931+I40*0.015</f>
        <v/>
      </c>
      <c r="J43" s="22">
        <f>(J12+J18)*504+J13*2111+(J14+J19)*786+J15*4931+J40*0.015</f>
        <v/>
      </c>
      <c r="K43" s="22">
        <f>(K12+K18)*504+K13*2111+(K14+K19)*786+K15*4931+K40*0.015</f>
        <v/>
      </c>
      <c r="L43" s="22">
        <f>(L12+L18)*504+L13*2111+(L14+L19)*786+L15*4931+L40*0.015</f>
        <v/>
      </c>
      <c r="M43" s="22">
        <f>(M12+M18)*504+M13*2111+(M14+M19)*786+M15*4931+M40*0.015</f>
        <v/>
      </c>
      <c r="N43" s="22">
        <f>SUM(B43:M43)</f>
        <v/>
      </c>
      <c r="O43" s="4" t="inlineStr">
        <is>
          <t>Potongan MDR Xendit (QRIS 0,7%, EW 1,8%)</t>
        </is>
      </c>
    </row>
    <row r="44">
      <c r="A44" s="7" t="inlineStr">
        <is>
          <t>Cadangan Pengembalian / Refunds (1,0%) [A]</t>
        </is>
      </c>
      <c r="B44" s="22">
        <f>B41*Model_Parameters!$B$50</f>
        <v/>
      </c>
      <c r="C44" s="22">
        <f>C41*Model_Parameters!$B$50</f>
        <v/>
      </c>
      <c r="D44" s="22">
        <f>D41*Model_Parameters!$B$50</f>
        <v/>
      </c>
      <c r="E44" s="22">
        <f>E41*Model_Parameters!$B$50</f>
        <v/>
      </c>
      <c r="F44" s="22">
        <f>F41*Model_Parameters!$B$50</f>
        <v/>
      </c>
      <c r="G44" s="22">
        <f>G41*Model_Parameters!$B$50</f>
        <v/>
      </c>
      <c r="H44" s="22">
        <f>H41*Model_Parameters!$B$50</f>
        <v/>
      </c>
      <c r="I44" s="22">
        <f>I41*Model_Parameters!$B$50</f>
        <v/>
      </c>
      <c r="J44" s="22">
        <f>J41*Model_Parameters!$B$50</f>
        <v/>
      </c>
      <c r="K44" s="22">
        <f>K41*Model_Parameters!$B$50</f>
        <v/>
      </c>
      <c r="L44" s="22">
        <f>L41*Model_Parameters!$B$50</f>
        <v/>
      </c>
      <c r="M44" s="22">
        <f>M41*Model_Parameters!$B$50</f>
        <v/>
      </c>
      <c r="N44" s="22">
        <f>SUM(B44:M44)</f>
        <v/>
      </c>
      <c r="O44" s="4" t="inlineStr">
        <is>
          <t>Cadangan risiko sengketa/transaksi dobel (1%)</t>
        </is>
      </c>
    </row>
    <row r="45">
      <c r="A45" s="7" t="inlineStr">
        <is>
          <t>Biaya Settlement Gateway (4x @ Rp 5k) [S]</t>
        </is>
      </c>
      <c r="B45" s="22">
        <f>Model_Parameters!$B$51*4</f>
        <v/>
      </c>
      <c r="C45" s="22">
        <f>Model_Parameters!$B$51*4</f>
        <v/>
      </c>
      <c r="D45" s="22">
        <f>Model_Parameters!$B$51*4</f>
        <v/>
      </c>
      <c r="E45" s="22">
        <f>Model_Parameters!$B$51*4</f>
        <v/>
      </c>
      <c r="F45" s="22">
        <f>Model_Parameters!$B$51*4</f>
        <v/>
      </c>
      <c r="G45" s="22">
        <f>Model_Parameters!$B$51*4</f>
        <v/>
      </c>
      <c r="H45" s="22">
        <f>Model_Parameters!$B$51*4</f>
        <v/>
      </c>
      <c r="I45" s="22">
        <f>Model_Parameters!$B$51*4</f>
        <v/>
      </c>
      <c r="J45" s="22">
        <f>Model_Parameters!$B$51*4</f>
        <v/>
      </c>
      <c r="K45" s="22">
        <f>Model_Parameters!$B$51*4</f>
        <v/>
      </c>
      <c r="L45" s="22">
        <f>Model_Parameters!$B$51*4</f>
        <v/>
      </c>
      <c r="M45" s="22">
        <f>Model_Parameters!$B$51*4</f>
        <v/>
      </c>
      <c r="N45" s="22">
        <f>SUM(B45:M45)</f>
        <v/>
      </c>
      <c r="O45" s="4" t="inlineStr">
        <is>
          <t>Tarif tarik dana mingguan ke rekening bank</t>
        </is>
      </c>
    </row>
    <row r="46">
      <c r="A46" s="6" t="inlineStr">
        <is>
          <t>TOTAL BIAYA VARIABEL [A]</t>
        </is>
      </c>
      <c r="B46" s="8">
        <f>SUM(B43:B45)</f>
        <v/>
      </c>
      <c r="C46" s="8">
        <f>SUM(C43:C45)</f>
        <v/>
      </c>
      <c r="D46" s="8">
        <f>SUM(D43:D45)</f>
        <v/>
      </c>
      <c r="E46" s="8">
        <f>SUM(E43:E45)</f>
        <v/>
      </c>
      <c r="F46" s="8">
        <f>SUM(F43:F45)</f>
        <v/>
      </c>
      <c r="G46" s="8">
        <f>SUM(G43:G45)</f>
        <v/>
      </c>
      <c r="H46" s="8">
        <f>SUM(H43:H45)</f>
        <v/>
      </c>
      <c r="I46" s="8">
        <f>SUM(I43:I45)</f>
        <v/>
      </c>
      <c r="J46" s="8">
        <f>SUM(J43:J45)</f>
        <v/>
      </c>
      <c r="K46" s="8">
        <f>SUM(K43:K45)</f>
        <v/>
      </c>
      <c r="L46" s="8">
        <f>SUM(L43:L45)</f>
        <v/>
      </c>
      <c r="M46" s="8">
        <f>SUM(M43:M45)</f>
        <v/>
      </c>
      <c r="N46" s="8">
        <f>SUM(B46:M46)</f>
        <v/>
      </c>
      <c r="O46" s="6" t="inlineStr">
        <is>
          <t>Total biaya variabel pemrosesan transaksi</t>
        </is>
      </c>
    </row>
    <row r="47">
      <c r="A47" s="12" t="inlineStr">
        <is>
          <t>PENERIMAAN KAS BERSIH (Net Cash Inflow) [A]</t>
        </is>
      </c>
      <c r="B47" s="14">
        <f>B41-B46</f>
        <v/>
      </c>
      <c r="C47" s="14">
        <f>C41-C46</f>
        <v/>
      </c>
      <c r="D47" s="14">
        <f>D41-D46</f>
        <v/>
      </c>
      <c r="E47" s="14">
        <f>E41-E46</f>
        <v/>
      </c>
      <c r="F47" s="14">
        <f>F41-F46</f>
        <v/>
      </c>
      <c r="G47" s="14">
        <f>G41-G46</f>
        <v/>
      </c>
      <c r="H47" s="14">
        <f>H41-H46</f>
        <v/>
      </c>
      <c r="I47" s="14">
        <f>I41-I46</f>
        <v/>
      </c>
      <c r="J47" s="14">
        <f>J41-J46</f>
        <v/>
      </c>
      <c r="K47" s="14">
        <f>K41-K46</f>
        <v/>
      </c>
      <c r="L47" s="14">
        <f>L41-L46</f>
        <v/>
      </c>
      <c r="M47" s="14">
        <f>M41-M46</f>
        <v/>
      </c>
      <c r="N47" s="14">
        <f>SUM(B47:M47)</f>
        <v/>
      </c>
      <c r="O47" s="12" t="inlineStr">
        <is>
          <t>Kas bersih setelah potongan gateway &amp; refund</t>
        </is>
      </c>
    </row>
    <row r="48" ht="20" customHeight="1">
      <c r="A48" s="3" t="inlineStr">
        <is>
          <t>VII. BEBAN OPERASIONAL TETAP (OPEX - IDR) [PHASE 0 VPS + AI SQUAD] [S/A]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30" t="n"/>
    </row>
    <row r="49">
      <c r="A49" s="7" t="inlineStr">
        <is>
          <t>Infrastruktur Hosting &amp; VPS (Phase 0 vs Vercel Pro) [S]</t>
        </is>
      </c>
      <c r="B49" s="22">
        <f>IF(B34&lt;5, Model_Parameters!$B$39, Model_Parameters!$C$39)</f>
        <v/>
      </c>
      <c r="C49" s="22">
        <f>IF(C34&lt;5, Model_Parameters!$B$39, Model_Parameters!$C$39)</f>
        <v/>
      </c>
      <c r="D49" s="22">
        <f>IF(D34&lt;5, Model_Parameters!$B$39, Model_Parameters!$C$39)</f>
        <v/>
      </c>
      <c r="E49" s="22">
        <f>IF(E34&lt;5, Model_Parameters!$B$39, Model_Parameters!$C$39)</f>
        <v/>
      </c>
      <c r="F49" s="22">
        <f>IF(F34&lt;5, Model_Parameters!$B$39, Model_Parameters!$C$39)</f>
        <v/>
      </c>
      <c r="G49" s="22">
        <f>IF(G34&lt;5, Model_Parameters!$B$39, Model_Parameters!$C$39)</f>
        <v/>
      </c>
      <c r="H49" s="22">
        <f>IF(H34&lt;5, Model_Parameters!$B$39, Model_Parameters!$C$39)</f>
        <v/>
      </c>
      <c r="I49" s="22">
        <f>IF(I34&lt;5, Model_Parameters!$B$39, Model_Parameters!$C$39)</f>
        <v/>
      </c>
      <c r="J49" s="22">
        <f>IF(J34&lt;5, Model_Parameters!$B$39, Model_Parameters!$C$39)</f>
        <v/>
      </c>
      <c r="K49" s="22">
        <f>IF(K34&lt;5, Model_Parameters!$B$39, Model_Parameters!$C$39)</f>
        <v/>
      </c>
      <c r="L49" s="22">
        <f>IF(L34&lt;5, Model_Parameters!$B$39, Model_Parameters!$C$39)</f>
        <v/>
      </c>
      <c r="M49" s="22">
        <f>IF(M34&lt;5, Model_Parameters!$B$39, Model_Parameters!$C$39)</f>
        <v/>
      </c>
      <c r="N49" s="22">
        <f>SUM(B49:M49)</f>
        <v/>
      </c>
      <c r="O49" s="4" t="inlineStr">
        <is>
          <t>Fase 0 VPS Rp 70k saat paying &lt; 5; Vercel Pro Rp 390k saat &gt;= 5</t>
        </is>
      </c>
    </row>
    <row r="50">
      <c r="A50" s="7" t="inlineStr">
        <is>
          <t>Biaya Operasional AI Agent Squad (Claude USD 20 @ Rp 16k) [S]</t>
        </is>
      </c>
      <c r="B50" s="22">
        <f>Model_Parameters!$B$40</f>
        <v/>
      </c>
      <c r="C50" s="22">
        <f>Model_Parameters!$B$40</f>
        <v/>
      </c>
      <c r="D50" s="22">
        <f>Model_Parameters!$B$40</f>
        <v/>
      </c>
      <c r="E50" s="22">
        <f>Model_Parameters!$B$40</f>
        <v/>
      </c>
      <c r="F50" s="22">
        <f>Model_Parameters!$B$40</f>
        <v/>
      </c>
      <c r="G50" s="22">
        <f>Model_Parameters!$B$40</f>
        <v/>
      </c>
      <c r="H50" s="22">
        <f>Model_Parameters!$B$40</f>
        <v/>
      </c>
      <c r="I50" s="22">
        <f>Model_Parameters!$B$40</f>
        <v/>
      </c>
      <c r="J50" s="22">
        <f>Model_Parameters!$B$40</f>
        <v/>
      </c>
      <c r="K50" s="22">
        <f>Model_Parameters!$B$40</f>
        <v/>
      </c>
      <c r="L50" s="22">
        <f>Model_Parameters!$B$40</f>
        <v/>
      </c>
      <c r="M50" s="22">
        <f>Model_Parameters!$B$40</f>
        <v/>
      </c>
      <c r="N50" s="22">
        <f>SUM(B50:M50)</f>
        <v/>
      </c>
      <c r="O50" s="4" t="inlineStr">
        <is>
          <t>Biaya flat langganan Claude squad 11 agen via gateway</t>
        </is>
      </c>
    </row>
    <row r="51">
      <c r="A51" s="7" t="inlineStr">
        <is>
          <t>Feed Data Pasar Resmi (EODHD $20 mulai M4) [S]</t>
        </is>
      </c>
      <c r="B51" s="22">
        <f>IF(OR(1&gt;=4, B31&gt;=50), Model_Parameters!$D$41, 0)</f>
        <v/>
      </c>
      <c r="C51" s="22">
        <f>IF(OR(2&gt;=4, C31&gt;=50), Model_Parameters!$D$41, 0)</f>
        <v/>
      </c>
      <c r="D51" s="22">
        <f>IF(OR(3&gt;=4, D31&gt;=50), Model_Parameters!$D$41, 0)</f>
        <v/>
      </c>
      <c r="E51" s="22">
        <f>IF(OR(4&gt;=4, E31&gt;=50), Model_Parameters!$D$41, 0)</f>
        <v/>
      </c>
      <c r="F51" s="22">
        <f>IF(OR(5&gt;=4, F31&gt;=50), Model_Parameters!$D$41, 0)</f>
        <v/>
      </c>
      <c r="G51" s="22">
        <f>IF(OR(6&gt;=4, G31&gt;=50), Model_Parameters!$D$41, 0)</f>
        <v/>
      </c>
      <c r="H51" s="22">
        <f>IF(OR(7&gt;=4, H31&gt;=50), Model_Parameters!$D$41, 0)</f>
        <v/>
      </c>
      <c r="I51" s="22">
        <f>IF(OR(8&gt;=4, I31&gt;=50), Model_Parameters!$D$41, 0)</f>
        <v/>
      </c>
      <c r="J51" s="22">
        <f>IF(OR(9&gt;=4, J31&gt;=50), Model_Parameters!$D$41, 0)</f>
        <v/>
      </c>
      <c r="K51" s="22">
        <f>IF(OR(10&gt;=4, K31&gt;=50), Model_Parameters!$D$41, 0)</f>
        <v/>
      </c>
      <c r="L51" s="22">
        <f>IF(OR(11&gt;=4, L31&gt;=50), Model_Parameters!$D$41, 0)</f>
        <v/>
      </c>
      <c r="M51" s="22">
        <f>IF(OR(12&gt;=4, M31&gt;=50), Model_Parameters!$D$41, 0)</f>
        <v/>
      </c>
      <c r="N51" s="22">
        <f>SUM(B51:M51)</f>
        <v/>
      </c>
      <c r="O51" s="4" t="inlineStr">
        <is>
          <t>Feed resmi EODHD komersial saat aktif &gt;= 50 subs</t>
        </is>
      </c>
    </row>
    <row r="52">
      <c r="A52" s="7" t="inlineStr">
        <is>
          <t>Database &amp; Autentikasi (SQLite + Litestream Fase 0 / Neon PG) [S]</t>
        </is>
      </c>
      <c r="B52" s="22">
        <f>IF(OR(1&gt;=7, B31&gt;=500), Model_Parameters!$E$42, 0)</f>
        <v/>
      </c>
      <c r="C52" s="22">
        <f>IF(OR(2&gt;=7, C31&gt;=500), Model_Parameters!$E$42, 0)</f>
        <v/>
      </c>
      <c r="D52" s="22">
        <f>IF(OR(3&gt;=7, D31&gt;=500), Model_Parameters!$E$42, 0)</f>
        <v/>
      </c>
      <c r="E52" s="22">
        <f>IF(OR(4&gt;=7, E31&gt;=500), Model_Parameters!$E$42, 0)</f>
        <v/>
      </c>
      <c r="F52" s="22">
        <f>IF(OR(5&gt;=7, F31&gt;=500), Model_Parameters!$E$42, 0)</f>
        <v/>
      </c>
      <c r="G52" s="22">
        <f>IF(OR(6&gt;=7, G31&gt;=500), Model_Parameters!$E$42, 0)</f>
        <v/>
      </c>
      <c r="H52" s="22">
        <f>IF(OR(7&gt;=7, H31&gt;=500), Model_Parameters!$E$42, 0)</f>
        <v/>
      </c>
      <c r="I52" s="22">
        <f>IF(OR(8&gt;=7, I31&gt;=500), Model_Parameters!$E$42, 0)</f>
        <v/>
      </c>
      <c r="J52" s="22">
        <f>IF(OR(9&gt;=7, J31&gt;=500), Model_Parameters!$E$42, 0)</f>
        <v/>
      </c>
      <c r="K52" s="22">
        <f>IF(OR(10&gt;=7, K31&gt;=500), Model_Parameters!$E$42, 0)</f>
        <v/>
      </c>
      <c r="L52" s="22">
        <f>IF(OR(11&gt;=7, L31&gt;=500), Model_Parameters!$E$42, 0)</f>
        <v/>
      </c>
      <c r="M52" s="22">
        <f>IF(OR(12&gt;=7, M31&gt;=500), Model_Parameters!$E$42, 0)</f>
        <v/>
      </c>
      <c r="N52" s="22">
        <f>SUM(B52:M52)</f>
        <v/>
      </c>
      <c r="O52" s="4" t="inlineStr">
        <is>
          <t>SQLite+Litestream di VPS (Rp 0); Supabase Pro didrop per Jim D3</t>
        </is>
      </c>
    </row>
    <row r="53">
      <c r="A53" s="7" t="inlineStr">
        <is>
          <t>Alokasi Pemasaran &amp; Edukasi Komunitas [A]</t>
        </is>
      </c>
      <c r="B53" s="22" t="n">
        <v>350000</v>
      </c>
      <c r="C53" s="22" t="n">
        <v>350000</v>
      </c>
      <c r="D53" s="22" t="n">
        <v>350000</v>
      </c>
      <c r="E53" s="22" t="n">
        <v>500000</v>
      </c>
      <c r="F53" s="22" t="n">
        <v>500000</v>
      </c>
      <c r="G53" s="22" t="n">
        <v>500000</v>
      </c>
      <c r="H53" s="22" t="n">
        <v>600000</v>
      </c>
      <c r="I53" s="22" t="n">
        <v>600000</v>
      </c>
      <c r="J53" s="22" t="n">
        <v>600000</v>
      </c>
      <c r="K53" s="22" t="n">
        <v>600000</v>
      </c>
      <c r="L53" s="22" t="n">
        <v>600000</v>
      </c>
      <c r="M53" s="22" t="n">
        <v>600000</v>
      </c>
      <c r="N53" s="22">
        <f>SUM(B53:M53)</f>
        <v/>
      </c>
      <c r="O53" s="4" t="inlineStr">
        <is>
          <t>Anggaran seeding konten, infografis &amp; kemitraan</t>
        </is>
      </c>
    </row>
    <row r="54">
      <c r="A54" s="7" t="inlineStr">
        <is>
          <t>Biaya Jasa Kepatuhan Pajak / Akuntan (Asumsi) [A]</t>
        </is>
      </c>
      <c r="B54" s="22" t="n">
        <v>0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>
        <f>SUM(B54:M54)</f>
        <v/>
      </c>
      <c r="O54" s="4" t="inlineStr">
        <is>
          <t>Lapor mandiri WPOP (Rp 0 di awal)</t>
        </is>
      </c>
    </row>
    <row r="55">
      <c r="A55" s="12" t="inlineStr">
        <is>
          <t>TOTAL BEBAN OPERASIONAL TETAP (OPEX) [A]</t>
        </is>
      </c>
      <c r="B55" s="14">
        <f>SUM(B49:B54)</f>
        <v/>
      </c>
      <c r="C55" s="14">
        <f>SUM(C49:C54)</f>
        <v/>
      </c>
      <c r="D55" s="14">
        <f>SUM(D49:D54)</f>
        <v/>
      </c>
      <c r="E55" s="14">
        <f>SUM(E49:E54)</f>
        <v/>
      </c>
      <c r="F55" s="14">
        <f>SUM(F49:F54)</f>
        <v/>
      </c>
      <c r="G55" s="14">
        <f>SUM(G49:G54)</f>
        <v/>
      </c>
      <c r="H55" s="14">
        <f>SUM(H49:H54)</f>
        <v/>
      </c>
      <c r="I55" s="14">
        <f>SUM(I49:I54)</f>
        <v/>
      </c>
      <c r="J55" s="14">
        <f>SUM(J49:J54)</f>
        <v/>
      </c>
      <c r="K55" s="14">
        <f>SUM(K49:K54)</f>
        <v/>
      </c>
      <c r="L55" s="14">
        <f>SUM(L49:L54)</f>
        <v/>
      </c>
      <c r="M55" s="14">
        <f>SUM(M49:M54)</f>
        <v/>
      </c>
      <c r="N55" s="14">
        <f>SUM(B55:M55)</f>
        <v/>
      </c>
      <c r="O55" s="12" t="inlineStr">
        <is>
          <t>Total beban kas operasional wajib bulanan</t>
        </is>
      </c>
    </row>
    <row r="56" ht="20" customHeight="1">
      <c r="A56" s="3" t="inlineStr">
        <is>
          <t>VIII. PROFITABILITAS OPERASIONAL, PAJAK &amp; SALDO KAS AKUMULATIF (IDR) [S/A]</t>
        </is>
      </c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30" t="n"/>
    </row>
    <row r="57">
      <c r="A57" s="12" t="inlineStr">
        <is>
          <t>LABA OPERASIONAL KAS (EBITDA) [A]</t>
        </is>
      </c>
      <c r="B57" s="14">
        <f>B47-B55</f>
        <v/>
      </c>
      <c r="C57" s="14">
        <f>C47-C55</f>
        <v/>
      </c>
      <c r="D57" s="14">
        <f>D47-D55</f>
        <v/>
      </c>
      <c r="E57" s="14">
        <f>E47-E55</f>
        <v/>
      </c>
      <c r="F57" s="14">
        <f>F47-F55</f>
        <v/>
      </c>
      <c r="G57" s="14">
        <f>G47-G55</f>
        <v/>
      </c>
      <c r="H57" s="14">
        <f>H47-H55</f>
        <v/>
      </c>
      <c r="I57" s="14">
        <f>I47-I55</f>
        <v/>
      </c>
      <c r="J57" s="14">
        <f>J47-J55</f>
        <v/>
      </c>
      <c r="K57" s="14">
        <f>K47-K55</f>
        <v/>
      </c>
      <c r="L57" s="14">
        <f>L47-L55</f>
        <v/>
      </c>
      <c r="M57" s="14">
        <f>M47-M55</f>
        <v/>
      </c>
      <c r="N57" s="14">
        <f>SUM(B57:M57)</f>
        <v/>
      </c>
      <c r="O57" s="12" t="inlineStr">
        <is>
          <t>Kas Bersih - OpEx Tetap</t>
        </is>
      </c>
    </row>
    <row r="58">
      <c r="A58" s="6" t="inlineStr">
        <is>
          <t>Margin Laba Kas EBITDA (%) [A]</t>
        </is>
      </c>
      <c r="B58" s="23">
        <f>IF(B41&gt;0, B57/B41, 0)</f>
        <v/>
      </c>
      <c r="C58" s="23">
        <f>IF(C41&gt;0, C57/C41, 0)</f>
        <v/>
      </c>
      <c r="D58" s="23">
        <f>IF(D41&gt;0, D57/D41, 0)</f>
        <v/>
      </c>
      <c r="E58" s="23">
        <f>IF(E41&gt;0, E57/E41, 0)</f>
        <v/>
      </c>
      <c r="F58" s="23">
        <f>IF(F41&gt;0, F57/F41, 0)</f>
        <v/>
      </c>
      <c r="G58" s="23">
        <f>IF(G41&gt;0, G57/G41, 0)</f>
        <v/>
      </c>
      <c r="H58" s="23">
        <f>IF(H41&gt;0, H57/H41, 0)</f>
        <v/>
      </c>
      <c r="I58" s="23">
        <f>IF(I41&gt;0, I57/I41, 0)</f>
        <v/>
      </c>
      <c r="J58" s="23">
        <f>IF(J41&gt;0, J57/J41, 0)</f>
        <v/>
      </c>
      <c r="K58" s="23">
        <f>IF(K41&gt;0, K57/K41, 0)</f>
        <v/>
      </c>
      <c r="L58" s="23">
        <f>IF(L41&gt;0, L57/L41, 0)</f>
        <v/>
      </c>
      <c r="M58" s="23">
        <f>IF(M41&gt;0, M57/M41, 0)</f>
        <v/>
      </c>
      <c r="N58" s="23">
        <f>IF(N41&gt;0, N57/N41, 0)</f>
        <v/>
      </c>
      <c r="O58" s="4" t="inlineStr">
        <is>
          <t>EBITDA / Kas Masuk Bruto</t>
        </is>
      </c>
    </row>
    <row r="59">
      <c r="A59" s="7" t="inlineStr">
        <is>
          <t>Estimasi PPh Final PP 55/2022 (WPOP Bebas s.d. Rp 500M) [S]</t>
        </is>
      </c>
      <c r="B59" s="22">
        <f>MAX(0, MIN(B41, SUM($B$41:B41) - 500000000)) * 0.005</f>
        <v/>
      </c>
      <c r="C59" s="22">
        <f>MAX(0, MIN(C41, SUM($B$41:C41) - 500000000)) * 0.005</f>
        <v/>
      </c>
      <c r="D59" s="22">
        <f>MAX(0, MIN(D41, SUM($B$41:D41) - 500000000)) * 0.005</f>
        <v/>
      </c>
      <c r="E59" s="22">
        <f>MAX(0, MIN(E41, SUM($B$41:E41) - 500000000)) * 0.005</f>
        <v/>
      </c>
      <c r="F59" s="22">
        <f>MAX(0, MIN(F41, SUM($B$41:F41) - 500000000)) * 0.005</f>
        <v/>
      </c>
      <c r="G59" s="22">
        <f>MAX(0, MIN(G41, SUM($B$41:G41) - 500000000)) * 0.005</f>
        <v/>
      </c>
      <c r="H59" s="22">
        <f>MAX(0, MIN(H41, SUM($B$41:H41) - 500000000)) * 0.005</f>
        <v/>
      </c>
      <c r="I59" s="22">
        <f>MAX(0, MIN(I41, SUM($B$41:I41) - 500000000)) * 0.005</f>
        <v/>
      </c>
      <c r="J59" s="22">
        <f>MAX(0, MIN(J41, SUM($B$41:J41) - 500000000)) * 0.005</f>
        <v/>
      </c>
      <c r="K59" s="22">
        <f>MAX(0, MIN(K41, SUM($B$41:K41) - 500000000)) * 0.005</f>
        <v/>
      </c>
      <c r="L59" s="22">
        <f>MAX(0, MIN(L41, SUM($B$41:L41) - 500000000)) * 0.005</f>
        <v/>
      </c>
      <c r="M59" s="22">
        <f>MAX(0, MIN(M41, SUM($B$41:M41) - 500000000)) * 0.005</f>
        <v/>
      </c>
      <c r="N59" s="22">
        <f>SUM(B59:M59)</f>
        <v/>
      </c>
      <c r="O59" s="4" t="inlineStr">
        <is>
          <t>PPh Final 0,5% atas omzet &gt; Rp 500 Juta (Pasal 69)</t>
        </is>
      </c>
    </row>
    <row r="60">
      <c r="A60" s="12" t="inlineStr">
        <is>
          <t>LABA BERSIH KAS SETELAH PAJAK [A]</t>
        </is>
      </c>
      <c r="B60" s="14">
        <f>B57-B59</f>
        <v/>
      </c>
      <c r="C60" s="14">
        <f>C57-C59</f>
        <v/>
      </c>
      <c r="D60" s="14">
        <f>D57-D59</f>
        <v/>
      </c>
      <c r="E60" s="14">
        <f>E57-E59</f>
        <v/>
      </c>
      <c r="F60" s="14">
        <f>F57-F59</f>
        <v/>
      </c>
      <c r="G60" s="14">
        <f>G57-G59</f>
        <v/>
      </c>
      <c r="H60" s="14">
        <f>H57-H59</f>
        <v/>
      </c>
      <c r="I60" s="14">
        <f>I57-I59</f>
        <v/>
      </c>
      <c r="J60" s="14">
        <f>J57-J59</f>
        <v/>
      </c>
      <c r="K60" s="14">
        <f>K57-K59</f>
        <v/>
      </c>
      <c r="L60" s="14">
        <f>L57-L59</f>
        <v/>
      </c>
      <c r="M60" s="14">
        <f>M57-M59</f>
        <v/>
      </c>
      <c r="N60" s="14">
        <f>SUM(B60:M60)</f>
        <v/>
      </c>
      <c r="O60" s="12" t="inlineStr">
        <is>
          <t>EBITDA dikurangi kewajiban pajak</t>
        </is>
      </c>
    </row>
    <row r="61">
      <c r="A61" s="6" t="inlineStr">
        <is>
          <t>Margin Kas Bersih Setelah Pajak (%) [A]</t>
        </is>
      </c>
      <c r="B61" s="23">
        <f>IF(B41&gt;0, B60/B41, 0)</f>
        <v/>
      </c>
      <c r="C61" s="23">
        <f>IF(C41&gt;0, C60/C41, 0)</f>
        <v/>
      </c>
      <c r="D61" s="23">
        <f>IF(D41&gt;0, D60/D41, 0)</f>
        <v/>
      </c>
      <c r="E61" s="23">
        <f>IF(E41&gt;0, E60/E41, 0)</f>
        <v/>
      </c>
      <c r="F61" s="23">
        <f>IF(F41&gt;0, F60/F41, 0)</f>
        <v/>
      </c>
      <c r="G61" s="23">
        <f>IF(G41&gt;0, G60/G41, 0)</f>
        <v/>
      </c>
      <c r="H61" s="23">
        <f>IF(H41&gt;0, H60/H41, 0)</f>
        <v/>
      </c>
      <c r="I61" s="23">
        <f>IF(I41&gt;0, I60/I41, 0)</f>
        <v/>
      </c>
      <c r="J61" s="23">
        <f>IF(J41&gt;0, J60/J41, 0)</f>
        <v/>
      </c>
      <c r="K61" s="23">
        <f>IF(K41&gt;0, K60/K41, 0)</f>
        <v/>
      </c>
      <c r="L61" s="23">
        <f>IF(L41&gt;0, L60/L41, 0)</f>
        <v/>
      </c>
      <c r="M61" s="23">
        <f>IF(M41&gt;0, M60/M41, 0)</f>
        <v/>
      </c>
      <c r="N61" s="23">
        <f>IF(N41&gt;0, N60/N41, 0)</f>
        <v/>
      </c>
      <c r="O61" s="4" t="inlineStr">
        <is>
          <t>Laba Bersih Kas / Kas Masuk Bruto</t>
        </is>
      </c>
    </row>
    <row r="62">
      <c r="A62" s="24" t="inlineStr">
        <is>
          <t>SALDO KAS AKUMULATIF (Ending Cash) [A]</t>
        </is>
      </c>
      <c r="B62" s="25">
        <f>B60</f>
        <v/>
      </c>
      <c r="C62" s="25">
        <f>B62+C60</f>
        <v/>
      </c>
      <c r="D62" s="25">
        <f>C62+D60</f>
        <v/>
      </c>
      <c r="E62" s="25">
        <f>D62+E60</f>
        <v/>
      </c>
      <c r="F62" s="25">
        <f>E62+F60</f>
        <v/>
      </c>
      <c r="G62" s="25">
        <f>F62+G60</f>
        <v/>
      </c>
      <c r="H62" s="25">
        <f>G62+H60</f>
        <v/>
      </c>
      <c r="I62" s="25">
        <f>H62+I60</f>
        <v/>
      </c>
      <c r="J62" s="25">
        <f>I62+J60</f>
        <v/>
      </c>
      <c r="K62" s="25">
        <f>J62+K60</f>
        <v/>
      </c>
      <c r="L62" s="25">
        <f>K62+L60</f>
        <v/>
      </c>
      <c r="M62" s="25">
        <f>L62+M60</f>
        <v/>
      </c>
      <c r="N62" s="25">
        <f>M62</f>
        <v/>
      </c>
      <c r="O62" s="24" t="inlineStr">
        <is>
          <t>Saldo kas mengendap di bank pada akhir bulan</t>
        </is>
      </c>
    </row>
  </sheetData>
  <mergeCells count="8">
    <mergeCell ref="A35:O35"/>
    <mergeCell ref="A26:O26"/>
    <mergeCell ref="A20:O20"/>
    <mergeCell ref="A16:O16"/>
    <mergeCell ref="A42:O42"/>
    <mergeCell ref="A5:O5"/>
    <mergeCell ref="A56:O56"/>
    <mergeCell ref="A48:O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61" customWidth="1" min="2" max="2"/>
    <col width="61" customWidth="1" min="3" max="3"/>
    <col width="61" customWidth="1" min="4" max="4"/>
    <col width="61" customWidth="1" min="5" max="5"/>
    <col width="61" customWidth="1" min="6" max="6"/>
    <col width="61" customWidth="1" min="7" max="7"/>
    <col width="61" customWidth="1" min="8" max="8"/>
    <col width="61" customWidth="1" min="9" max="9"/>
    <col width="61" customWidth="1" min="10" max="10"/>
    <col width="61" customWidth="1" min="11" max="11"/>
    <col width="61" customWidth="1" min="12" max="12"/>
    <col width="61" customWidth="1" min="13" max="13"/>
    <col width="16" customWidth="1" min="14" max="14"/>
    <col width="45" customWidth="1" min="15" max="15"/>
  </cols>
  <sheetData>
    <row r="1">
      <c r="A1" s="1" t="inlineStr">
        <is>
          <t>IHSG STORM — MODEL KEUANGAN 12 BULAN (SKENARIO 3: MODERAT (BASE CASE))</t>
        </is>
      </c>
    </row>
    <row r="2">
      <c r="A2" s="2" t="inlineStr">
        <is>
          <t>Dinamika Bulanan: One-Time Pass, Perpanjangan Manual, Jalur Upgrade, Akun Comp, OpEx Phase 0 VPS (Drop Supabase) &amp; Kas (v3.1) | Oscar</t>
        </is>
      </c>
    </row>
    <row r="4" ht="25" customHeight="1">
      <c r="A4" s="21" t="inlineStr">
        <is>
          <t>Metrik / Pos Keuangan</t>
        </is>
      </c>
      <c r="B4" s="21" t="inlineStr">
        <is>
          <t>M1 (Nov)</t>
        </is>
      </c>
      <c r="C4" s="21" t="inlineStr">
        <is>
          <t>M2 (Des)</t>
        </is>
      </c>
      <c r="D4" s="21" t="inlineStr">
        <is>
          <t>M3 (Jan)</t>
        </is>
      </c>
      <c r="E4" s="21" t="inlineStr">
        <is>
          <t>M4 (Feb)</t>
        </is>
      </c>
      <c r="F4" s="21" t="inlineStr">
        <is>
          <t>M5 (Mar)</t>
        </is>
      </c>
      <c r="G4" s="21" t="inlineStr">
        <is>
          <t>M6 (Apr)</t>
        </is>
      </c>
      <c r="H4" s="21" t="inlineStr">
        <is>
          <t>M7 (Mei)</t>
        </is>
      </c>
      <c r="I4" s="21" t="inlineStr">
        <is>
          <t>M8 (Jun)</t>
        </is>
      </c>
      <c r="J4" s="21" t="inlineStr">
        <is>
          <t>M9 (Jul)</t>
        </is>
      </c>
      <c r="K4" s="21" t="inlineStr">
        <is>
          <t>M10 (Agu)</t>
        </is>
      </c>
      <c r="L4" s="21" t="inlineStr">
        <is>
          <t>M11 (Sep)</t>
        </is>
      </c>
      <c r="M4" s="21" t="inlineStr">
        <is>
          <t>M12 (Okt)</t>
        </is>
      </c>
      <c r="N4" s="21" t="inlineStr">
        <is>
          <t>Total 12 Bulan</t>
        </is>
      </c>
      <c r="O4" s="21" t="inlineStr">
        <is>
          <t>Keterangan &amp; Formula</t>
        </is>
      </c>
    </row>
    <row r="5" ht="20" customHeight="1">
      <c r="A5" s="3" t="inlineStr">
        <is>
          <t>I. TRAFIK &amp; FUNNEL AKUISISI PENGGUNA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n"/>
    </row>
    <row r="6">
      <c r="A6" s="7" t="inlineStr">
        <is>
          <t>Pengunjung Unik Bulanan [A]</t>
        </is>
      </c>
      <c r="B6" s="22" t="n">
        <v>3500</v>
      </c>
      <c r="C6" s="22" t="n">
        <v>6000</v>
      </c>
      <c r="D6" s="22" t="n">
        <v>9500</v>
      </c>
      <c r="E6" s="22" t="n">
        <v>14000</v>
      </c>
      <c r="F6" s="22" t="n">
        <v>19500</v>
      </c>
      <c r="G6" s="22" t="n">
        <v>26000</v>
      </c>
      <c r="H6" s="22" t="n">
        <v>32500</v>
      </c>
      <c r="I6" s="22" t="n">
        <v>38500</v>
      </c>
      <c r="J6" s="22" t="n">
        <v>44000</v>
      </c>
      <c r="K6" s="22" t="n">
        <v>48500</v>
      </c>
      <c r="L6" s="22" t="n">
        <v>52000</v>
      </c>
      <c r="M6" s="22" t="n">
        <v>55000</v>
      </c>
      <c r="N6" s="22">
        <f>SUM(B6:M6)</f>
        <v/>
      </c>
      <c r="O6" s="4" t="inlineStr">
        <is>
          <t>Proyeksi trafik web unik bulanan</t>
        </is>
      </c>
    </row>
    <row r="7">
      <c r="A7" s="7" t="inlineStr">
        <is>
          <t>Rasio Registrasi Akun Gratis (%) [A]</t>
        </is>
      </c>
      <c r="B7" s="23" t="n">
        <v>0.25</v>
      </c>
      <c r="C7" s="23" t="n">
        <v>0.25</v>
      </c>
      <c r="D7" s="23" t="n">
        <v>0.25</v>
      </c>
      <c r="E7" s="23" t="n">
        <v>0.25</v>
      </c>
      <c r="F7" s="23" t="n">
        <v>0.25</v>
      </c>
      <c r="G7" s="23" t="n">
        <v>0.25</v>
      </c>
      <c r="H7" s="23" t="n">
        <v>0.25</v>
      </c>
      <c r="I7" s="23" t="n">
        <v>0.25</v>
      </c>
      <c r="J7" s="23" t="n">
        <v>0.25</v>
      </c>
      <c r="K7" s="23" t="n">
        <v>0.25</v>
      </c>
      <c r="L7" s="23" t="n">
        <v>0.25</v>
      </c>
      <c r="M7" s="23" t="n">
        <v>0.25</v>
      </c>
      <c r="N7" s="23">
        <f>AVERAGE(B7:M7)</f>
        <v/>
      </c>
      <c r="O7" s="4" t="inlineStr">
        <is>
          <t>Persentase pengunjung yang mendaftar gratis</t>
        </is>
      </c>
    </row>
    <row r="8">
      <c r="A8" s="7" t="inlineStr">
        <is>
          <t>Pendaftaran Akun Gratis Baru (MoM) [A]</t>
        </is>
      </c>
      <c r="B8" s="22">
        <f>B6*B7</f>
        <v/>
      </c>
      <c r="C8" s="22">
        <f>C6*C7</f>
        <v/>
      </c>
      <c r="D8" s="22">
        <f>D6*D7</f>
        <v/>
      </c>
      <c r="E8" s="22">
        <f>E6*E7</f>
        <v/>
      </c>
      <c r="F8" s="22">
        <f>F6*F7</f>
        <v/>
      </c>
      <c r="G8" s="22">
        <f>G6*G7</f>
        <v/>
      </c>
      <c r="H8" s="22">
        <f>H6*H7</f>
        <v/>
      </c>
      <c r="I8" s="22">
        <f>I6*I7</f>
        <v/>
      </c>
      <c r="J8" s="22">
        <f>J6*J7</f>
        <v/>
      </c>
      <c r="K8" s="22">
        <f>K6*K7</f>
        <v/>
      </c>
      <c r="L8" s="22">
        <f>L6*L7</f>
        <v/>
      </c>
      <c r="M8" s="22">
        <f>M6*M7</f>
        <v/>
      </c>
      <c r="N8" s="22">
        <f>SUM(B8:M8)</f>
        <v/>
      </c>
      <c r="O8" s="4" t="inlineStr">
        <is>
          <t>Pengguna gratis baru per bulan</t>
        </is>
      </c>
    </row>
    <row r="9">
      <c r="A9" s="7" t="inlineStr">
        <is>
          <t>Akumulasi Pengguna Gratis Terdaftar [A]</t>
        </is>
      </c>
      <c r="B9" s="22">
        <f>B8</f>
        <v/>
      </c>
      <c r="C9" s="22">
        <f>B9+C8</f>
        <v/>
      </c>
      <c r="D9" s="22">
        <f>C9+D8</f>
        <v/>
      </c>
      <c r="E9" s="22">
        <f>D9+E8</f>
        <v/>
      </c>
      <c r="F9" s="22">
        <f>E9+F8</f>
        <v/>
      </c>
      <c r="G9" s="22">
        <f>F9+G8</f>
        <v/>
      </c>
      <c r="H9" s="22">
        <f>G9+H8</f>
        <v/>
      </c>
      <c r="I9" s="22">
        <f>H9+I8</f>
        <v/>
      </c>
      <c r="J9" s="22">
        <f>I9+J8</f>
        <v/>
      </c>
      <c r="K9" s="22">
        <f>J9+K8</f>
        <v/>
      </c>
      <c r="L9" s="22">
        <f>K9+L8</f>
        <v/>
      </c>
      <c r="M9" s="22">
        <f>L9+M8</f>
        <v/>
      </c>
      <c r="N9" s="22">
        <f>M9</f>
        <v/>
      </c>
      <c r="O9" s="4" t="inlineStr">
        <is>
          <t>Total basis akun gratis kumulatif</t>
        </is>
      </c>
    </row>
    <row r="10">
      <c r="A10" s="7" t="inlineStr">
        <is>
          <t>Tingkat Konversi Akun Baru ke Berbayar (%) [A]</t>
        </is>
      </c>
      <c r="B10" s="23" t="n">
        <v>0.0135</v>
      </c>
      <c r="C10" s="23" t="n">
        <v>0.0135</v>
      </c>
      <c r="D10" s="23" t="n">
        <v>0.0135</v>
      </c>
      <c r="E10" s="23" t="n">
        <v>0.0135</v>
      </c>
      <c r="F10" s="23" t="n">
        <v>0.0135</v>
      </c>
      <c r="G10" s="23" t="n">
        <v>0.0135</v>
      </c>
      <c r="H10" s="23" t="n">
        <v>0.0135</v>
      </c>
      <c r="I10" s="23" t="n">
        <v>0.0135</v>
      </c>
      <c r="J10" s="23" t="n">
        <v>0.0135</v>
      </c>
      <c r="K10" s="23" t="n">
        <v>0.0135</v>
      </c>
      <c r="L10" s="23" t="n">
        <v>0.0135</v>
      </c>
      <c r="M10" s="23" t="n">
        <v>0.0135</v>
      </c>
      <c r="N10" s="23">
        <f>AVERAGE(B10:M10)</f>
        <v/>
      </c>
      <c r="O10" s="4" t="inlineStr">
        <is>
          <t>Persentase akun baru yang membeli pass berbayar</t>
        </is>
      </c>
    </row>
    <row r="11">
      <c r="A11" s="6" t="inlineStr">
        <is>
          <t>Pelanggan Pembeli Pass Baru Total (Cohort) [A]</t>
        </is>
      </c>
      <c r="B11" s="8">
        <f>B8*B10</f>
        <v/>
      </c>
      <c r="C11" s="8">
        <f>C8*C10</f>
        <v/>
      </c>
      <c r="D11" s="8">
        <f>D8*D10</f>
        <v/>
      </c>
      <c r="E11" s="8">
        <f>E8*E10</f>
        <v/>
      </c>
      <c r="F11" s="8">
        <f>F8*F10</f>
        <v/>
      </c>
      <c r="G11" s="8">
        <f>G8*G10</f>
        <v/>
      </c>
      <c r="H11" s="8">
        <f>H8*H10</f>
        <v/>
      </c>
      <c r="I11" s="8">
        <f>I8*I10</f>
        <v/>
      </c>
      <c r="J11" s="8">
        <f>J8*J10</f>
        <v/>
      </c>
      <c r="K11" s="8">
        <f>K8*K10</f>
        <v/>
      </c>
      <c r="L11" s="8">
        <f>L8*L10</f>
        <v/>
      </c>
      <c r="M11" s="8">
        <f>M8*M10</f>
        <v/>
      </c>
      <c r="N11" s="8">
        <f>SUM(B11:M11)</f>
        <v/>
      </c>
      <c r="O11" s="6" t="inlineStr">
        <is>
          <t>Total pembeli baru pertama kali</t>
        </is>
      </c>
    </row>
    <row r="12">
      <c r="A12" s="7" t="inlineStr">
        <is>
          <t xml:space="preserve">  • Investor Pass 1-Bulan Baru (Rp 19k) [A]</t>
        </is>
      </c>
      <c r="B12" s="22">
        <f>B11*0.56</f>
        <v/>
      </c>
      <c r="C12" s="22">
        <f>C11*0.56</f>
        <v/>
      </c>
      <c r="D12" s="22">
        <f>D11*0.56</f>
        <v/>
      </c>
      <c r="E12" s="22">
        <f>E11*0.56</f>
        <v/>
      </c>
      <c r="F12" s="22">
        <f>F11*0.56</f>
        <v/>
      </c>
      <c r="G12" s="22">
        <f>G11*0.56</f>
        <v/>
      </c>
      <c r="H12" s="22">
        <f>H11*0.56</f>
        <v/>
      </c>
      <c r="I12" s="22">
        <f>I11*0.56</f>
        <v/>
      </c>
      <c r="J12" s="22">
        <f>J11*0.56</f>
        <v/>
      </c>
      <c r="K12" s="22">
        <f>K11*0.56</f>
        <v/>
      </c>
      <c r="L12" s="22">
        <f>L11*0.56</f>
        <v/>
      </c>
      <c r="M12" s="22">
        <f>M11*0.56</f>
        <v/>
      </c>
      <c r="N12" s="22">
        <f>SUM(B12:M12)</f>
        <v/>
      </c>
      <c r="O12" s="4" t="inlineStr">
        <is>
          <t>56% dari pembeli baru memilih Investor 1M</t>
        </is>
      </c>
    </row>
    <row r="13">
      <c r="A13" s="7" t="inlineStr">
        <is>
          <t xml:space="preserve">  • Investor Pass 12-Bulan Baru (Rp 190k) [A]</t>
        </is>
      </c>
      <c r="B13" s="22">
        <f>B11*0.14</f>
        <v/>
      </c>
      <c r="C13" s="22">
        <f>C11*0.14</f>
        <v/>
      </c>
      <c r="D13" s="22">
        <f>D11*0.14</f>
        <v/>
      </c>
      <c r="E13" s="22">
        <f>E11*0.14</f>
        <v/>
      </c>
      <c r="F13" s="22">
        <f>F11*0.14</f>
        <v/>
      </c>
      <c r="G13" s="22">
        <f>G11*0.14</f>
        <v/>
      </c>
      <c r="H13" s="22">
        <f>H11*0.14</f>
        <v/>
      </c>
      <c r="I13" s="22">
        <f>I11*0.14</f>
        <v/>
      </c>
      <c r="J13" s="22">
        <f>J11*0.14</f>
        <v/>
      </c>
      <c r="K13" s="22">
        <f>K11*0.14</f>
        <v/>
      </c>
      <c r="L13" s="22">
        <f>L11*0.14</f>
        <v/>
      </c>
      <c r="M13" s="22">
        <f>M11*0.14</f>
        <v/>
      </c>
      <c r="N13" s="22">
        <f>SUM(B13:M13)</f>
        <v/>
      </c>
      <c r="O13" s="4" t="inlineStr">
        <is>
          <t>14% dari pembeli baru memilih Investor 12M</t>
        </is>
      </c>
    </row>
    <row r="14">
      <c r="A14" s="7" t="inlineStr">
        <is>
          <t xml:space="preserve">  • Pakar Pass 1-Bulan Baru (Rp 49k) [A]</t>
        </is>
      </c>
      <c r="B14" s="22">
        <f>B11*0.24</f>
        <v/>
      </c>
      <c r="C14" s="22">
        <f>C11*0.24</f>
        <v/>
      </c>
      <c r="D14" s="22">
        <f>D11*0.24</f>
        <v/>
      </c>
      <c r="E14" s="22">
        <f>E11*0.24</f>
        <v/>
      </c>
      <c r="F14" s="22">
        <f>F11*0.24</f>
        <v/>
      </c>
      <c r="G14" s="22">
        <f>G11*0.24</f>
        <v/>
      </c>
      <c r="H14" s="22">
        <f>H11*0.24</f>
        <v/>
      </c>
      <c r="I14" s="22">
        <f>I11*0.24</f>
        <v/>
      </c>
      <c r="J14" s="22">
        <f>J11*0.24</f>
        <v/>
      </c>
      <c r="K14" s="22">
        <f>K11*0.24</f>
        <v/>
      </c>
      <c r="L14" s="22">
        <f>L11*0.24</f>
        <v/>
      </c>
      <c r="M14" s="22">
        <f>M11*0.24</f>
        <v/>
      </c>
      <c r="N14" s="22">
        <f>SUM(B14:M14)</f>
        <v/>
      </c>
      <c r="O14" s="4" t="inlineStr">
        <is>
          <t>24% dari pembeli baru memilih Pakar 1M</t>
        </is>
      </c>
    </row>
    <row r="15">
      <c r="A15" s="7" t="inlineStr">
        <is>
          <t xml:space="preserve">  • Pakar Pass 12-Bulan Baru (Rp 490k) [A]</t>
        </is>
      </c>
      <c r="B15" s="22">
        <f>B11*0.06</f>
        <v/>
      </c>
      <c r="C15" s="22">
        <f>C11*0.06</f>
        <v/>
      </c>
      <c r="D15" s="22">
        <f>D11*0.06</f>
        <v/>
      </c>
      <c r="E15" s="22">
        <f>E11*0.06</f>
        <v/>
      </c>
      <c r="F15" s="22">
        <f>F11*0.06</f>
        <v/>
      </c>
      <c r="G15" s="22">
        <f>G11*0.06</f>
        <v/>
      </c>
      <c r="H15" s="22">
        <f>H11*0.06</f>
        <v/>
      </c>
      <c r="I15" s="22">
        <f>I11*0.06</f>
        <v/>
      </c>
      <c r="J15" s="22">
        <f>J11*0.06</f>
        <v/>
      </c>
      <c r="K15" s="22">
        <f>K11*0.06</f>
        <v/>
      </c>
      <c r="L15" s="22">
        <f>L11*0.06</f>
        <v/>
      </c>
      <c r="M15" s="22">
        <f>M11*0.06</f>
        <v/>
      </c>
      <c r="N15" s="22">
        <f>SUM(B15:M15)</f>
        <v/>
      </c>
      <c r="O15" s="4" t="inlineStr">
        <is>
          <t>6% dari pembeli baru memilih Pakar 12M</t>
        </is>
      </c>
    </row>
    <row r="16" ht="20" customHeight="1">
      <c r="A16" s="3" t="inlineStr">
        <is>
          <t>II. PEMBELIAN ULANG PASS 1-BULAN (REPEAT PURCHASE / MANUAL RENEWAL) [A]</t>
        </is>
      </c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30" t="n"/>
    </row>
    <row r="17">
      <c r="A17" s="7" t="inlineStr">
        <is>
          <t>Tingkat Pembelian Ulang Manual (%) [A]</t>
        </is>
      </c>
      <c r="B17" s="23" t="n">
        <v>0.45</v>
      </c>
      <c r="C17" s="23" t="n">
        <v>0.45</v>
      </c>
      <c r="D17" s="23" t="n">
        <v>0.45</v>
      </c>
      <c r="E17" s="23" t="n">
        <v>0.45</v>
      </c>
      <c r="F17" s="23" t="n">
        <v>0.45</v>
      </c>
      <c r="G17" s="23" t="n">
        <v>0.45</v>
      </c>
      <c r="H17" s="23" t="n">
        <v>0.45</v>
      </c>
      <c r="I17" s="23" t="n">
        <v>0.45</v>
      </c>
      <c r="J17" s="23" t="n">
        <v>0.45</v>
      </c>
      <c r="K17" s="23" t="n">
        <v>0.45</v>
      </c>
      <c r="L17" s="23" t="n">
        <v>0.45</v>
      </c>
      <c r="M17" s="23" t="n">
        <v>0.45</v>
      </c>
      <c r="N17" s="23">
        <f>AVERAGE(B17:M17)</f>
        <v/>
      </c>
      <c r="O17" s="4" t="inlineStr">
        <is>
          <t>Persentase pembeli 1M yang manual beli lagi saat habis</t>
        </is>
      </c>
    </row>
    <row r="18">
      <c r="A18" s="7" t="inlineStr">
        <is>
          <t>Pembelian Ulang Investor Pass 1-Bulan [A]</t>
        </is>
      </c>
      <c r="B18" s="22" t="n">
        <v>0</v>
      </c>
      <c r="C18" s="22">
        <f>B27*C17</f>
        <v/>
      </c>
      <c r="D18" s="22">
        <f>C27*D17</f>
        <v/>
      </c>
      <c r="E18" s="22">
        <f>D27*E17</f>
        <v/>
      </c>
      <c r="F18" s="22">
        <f>E27*F17</f>
        <v/>
      </c>
      <c r="G18" s="22">
        <f>F27*G17</f>
        <v/>
      </c>
      <c r="H18" s="22">
        <f>G27*H17</f>
        <v/>
      </c>
      <c r="I18" s="22">
        <f>H27*I17</f>
        <v/>
      </c>
      <c r="J18" s="22">
        <f>I27*J17</f>
        <v/>
      </c>
      <c r="K18" s="22">
        <f>J27*K17</f>
        <v/>
      </c>
      <c r="L18" s="22">
        <f>K27*L17</f>
        <v/>
      </c>
      <c r="M18" s="22">
        <f>L27*M17</f>
        <v/>
      </c>
      <c r="N18" s="22">
        <f>SUM(B18:M18)</f>
        <v/>
      </c>
      <c r="O18" s="4" t="inlineStr">
        <is>
          <t>Pembeli Investor 1M bulan lalu yang beli pass baru</t>
        </is>
      </c>
    </row>
    <row r="19">
      <c r="A19" s="7" t="inlineStr">
        <is>
          <t>Pembelian Ulang Pakar Pass 1-Bulan [A]</t>
        </is>
      </c>
      <c r="B19" s="22" t="n">
        <v>0</v>
      </c>
      <c r="C19" s="22">
        <f>B29*C17</f>
        <v/>
      </c>
      <c r="D19" s="22">
        <f>C29*D17</f>
        <v/>
      </c>
      <c r="E19" s="22">
        <f>D29*E17</f>
        <v/>
      </c>
      <c r="F19" s="22">
        <f>E29*F17</f>
        <v/>
      </c>
      <c r="G19" s="22">
        <f>F29*G17</f>
        <v/>
      </c>
      <c r="H19" s="22">
        <f>G29*H17</f>
        <v/>
      </c>
      <c r="I19" s="22">
        <f>H29*I17</f>
        <v/>
      </c>
      <c r="J19" s="22">
        <f>I29*J17</f>
        <v/>
      </c>
      <c r="K19" s="22">
        <f>J29*K17</f>
        <v/>
      </c>
      <c r="L19" s="22">
        <f>K29*L17</f>
        <v/>
      </c>
      <c r="M19" s="22">
        <f>L29*M17</f>
        <v/>
      </c>
      <c r="N19" s="22">
        <f>SUM(B19:M19)</f>
        <v/>
      </c>
      <c r="O19" s="4" t="inlineStr">
        <is>
          <t>Pembeli Pakar 1M bulan lalu yang beli pass baru</t>
        </is>
      </c>
    </row>
    <row r="20" ht="20" customHeight="1">
      <c r="A20" s="3" t="inlineStr">
        <is>
          <t>III. JALUR UPGRADE TIER (INVESTOR -&gt; PAKAR) [S/A]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30" t="n"/>
    </row>
    <row r="21">
      <c r="A21" s="7" t="inlineStr">
        <is>
          <t>Tingkat Konversi Upgrade Investor ke Pakar (%) [A]</t>
        </is>
      </c>
      <c r="B21" s="23" t="n">
        <v>0.08</v>
      </c>
      <c r="C21" s="23" t="n">
        <v>0.08</v>
      </c>
      <c r="D21" s="23" t="n">
        <v>0.08</v>
      </c>
      <c r="E21" s="23" t="n">
        <v>0.08</v>
      </c>
      <c r="F21" s="23" t="n">
        <v>0.08</v>
      </c>
      <c r="G21" s="23" t="n">
        <v>0.08</v>
      </c>
      <c r="H21" s="23" t="n">
        <v>0.08</v>
      </c>
      <c r="I21" s="23" t="n">
        <v>0.08</v>
      </c>
      <c r="J21" s="23" t="n">
        <v>0.08</v>
      </c>
      <c r="K21" s="23" t="n">
        <v>0.08</v>
      </c>
      <c r="L21" s="23" t="n">
        <v>0.08</v>
      </c>
      <c r="M21" s="23" t="n">
        <v>0.08</v>
      </c>
      <c r="N21" s="23">
        <f>AVERAGE(B21:M21)</f>
        <v/>
      </c>
      <c r="O21" s="4" t="inlineStr">
        <is>
          <t>Persentase pemegang Investor yang upgrade ke Pakar</t>
        </is>
      </c>
    </row>
    <row r="22">
      <c r="A22" s="7" t="inlineStr">
        <is>
          <t>Jumlah Akun Investor 1M yang Upgrade [A]</t>
        </is>
      </c>
      <c r="B22" s="22">
        <f>(B12+B18)*B21</f>
        <v/>
      </c>
      <c r="C22" s="22">
        <f>(C12+C18)*C21</f>
        <v/>
      </c>
      <c r="D22" s="22">
        <f>(D12+D18)*D21</f>
        <v/>
      </c>
      <c r="E22" s="22">
        <f>(E12+E18)*E21</f>
        <v/>
      </c>
      <c r="F22" s="22">
        <f>(F12+F18)*F21</f>
        <v/>
      </c>
      <c r="G22" s="22">
        <f>(G12+G18)*G21</f>
        <v/>
      </c>
      <c r="H22" s="22">
        <f>(H12+H18)*H21</f>
        <v/>
      </c>
      <c r="I22" s="22">
        <f>(I12+I18)*I21</f>
        <v/>
      </c>
      <c r="J22" s="22">
        <f>(J12+J18)*J21</f>
        <v/>
      </c>
      <c r="K22" s="22">
        <f>(K12+K18)*K21</f>
        <v/>
      </c>
      <c r="L22" s="22">
        <f>(L12+L18)*L21</f>
        <v/>
      </c>
      <c r="M22" s="22">
        <f>(M12+M18)*M21</f>
        <v/>
      </c>
      <c r="N22" s="22">
        <f>SUM(B22:M22)</f>
        <v/>
      </c>
      <c r="O22" s="4" t="inlineStr">
        <is>
          <t>Akun Investor 1M yang bayar selisih Rp 30k ke Pakar</t>
        </is>
      </c>
    </row>
    <row r="23">
      <c r="A23" s="7" t="inlineStr">
        <is>
          <t>Pendapatan Kas Upgrade 1-Bulan (Rp 30k) [S]</t>
        </is>
      </c>
      <c r="B23" s="22">
        <f>B22*Model_Parameters!$B$16</f>
        <v/>
      </c>
      <c r="C23" s="22">
        <f>C22*Model_Parameters!$B$16</f>
        <v/>
      </c>
      <c r="D23" s="22">
        <f>D22*Model_Parameters!$B$16</f>
        <v/>
      </c>
      <c r="E23" s="22">
        <f>E22*Model_Parameters!$B$16</f>
        <v/>
      </c>
      <c r="F23" s="22">
        <f>F22*Model_Parameters!$B$16</f>
        <v/>
      </c>
      <c r="G23" s="22">
        <f>G22*Model_Parameters!$B$16</f>
        <v/>
      </c>
      <c r="H23" s="22">
        <f>H22*Model_Parameters!$B$16</f>
        <v/>
      </c>
      <c r="I23" s="22">
        <f>I22*Model_Parameters!$B$16</f>
        <v/>
      </c>
      <c r="J23" s="22">
        <f>J22*Model_Parameters!$B$16</f>
        <v/>
      </c>
      <c r="K23" s="22">
        <f>K22*Model_Parameters!$B$16</f>
        <v/>
      </c>
      <c r="L23" s="22">
        <f>L22*Model_Parameters!$B$16</f>
        <v/>
      </c>
      <c r="M23" s="22">
        <f>M22*Model_Parameters!$B$16</f>
        <v/>
      </c>
      <c r="N23" s="22">
        <f>SUM(B23:M23)</f>
        <v/>
      </c>
      <c r="O23" s="4" t="inlineStr">
        <is>
          <t>Kas masuk upgrade bulanan: Akun x Rp 30.000</t>
        </is>
      </c>
    </row>
    <row r="24">
      <c r="A24" s="7" t="inlineStr">
        <is>
          <t>Pendapatan Kas Upgrade 12-Bulan (Prorata Rp 225k) [A]</t>
        </is>
      </c>
      <c r="B24" s="22">
        <f>(B13*(B21*0.5))*Model_Parameters!$B$17</f>
        <v/>
      </c>
      <c r="C24" s="22">
        <f>(C13*(C21*0.5))*Model_Parameters!$B$17</f>
        <v/>
      </c>
      <c r="D24" s="22">
        <f>(D13*(D21*0.5))*Model_Parameters!$B$17</f>
        <v/>
      </c>
      <c r="E24" s="22">
        <f>(E13*(E21*0.5))*Model_Parameters!$B$17</f>
        <v/>
      </c>
      <c r="F24" s="22">
        <f>(F13*(F21*0.5))*Model_Parameters!$B$17</f>
        <v/>
      </c>
      <c r="G24" s="22">
        <f>(G13*(G21*0.5))*Model_Parameters!$B$17</f>
        <v/>
      </c>
      <c r="H24" s="22">
        <f>(H13*(H21*0.5))*Model_Parameters!$B$17</f>
        <v/>
      </c>
      <c r="I24" s="22">
        <f>(I13*(I21*0.5))*Model_Parameters!$B$17</f>
        <v/>
      </c>
      <c r="J24" s="22">
        <f>(J13*(J21*0.5))*Model_Parameters!$B$17</f>
        <v/>
      </c>
      <c r="K24" s="22">
        <f>(K13*(K21*0.5))*Model_Parameters!$B$17</f>
        <v/>
      </c>
      <c r="L24" s="22">
        <f>(L13*(L21*0.5))*Model_Parameters!$B$17</f>
        <v/>
      </c>
      <c r="M24" s="22">
        <f>(M13*(M21*0.5))*Model_Parameters!$B$17</f>
        <v/>
      </c>
      <c r="N24" s="22">
        <f>SUM(B24:M24)</f>
        <v/>
      </c>
      <c r="O24" s="4" t="inlineStr">
        <is>
          <t>Kas masuk upgrade tahunan: Prorata sisa bulan</t>
        </is>
      </c>
    </row>
    <row r="25">
      <c r="A25" s="6" t="inlineStr">
        <is>
          <t>TOTAL KAS MASUK DARI UPGRADE TIER [A]</t>
        </is>
      </c>
      <c r="B25" s="8">
        <f>B23+B24</f>
        <v/>
      </c>
      <c r="C25" s="8">
        <f>C23+C24</f>
        <v/>
      </c>
      <c r="D25" s="8">
        <f>D23+D24</f>
        <v/>
      </c>
      <c r="E25" s="8">
        <f>E23+E24</f>
        <v/>
      </c>
      <c r="F25" s="8">
        <f>F23+F24</f>
        <v/>
      </c>
      <c r="G25" s="8">
        <f>G23+G24</f>
        <v/>
      </c>
      <c r="H25" s="8">
        <f>H23+H24</f>
        <v/>
      </c>
      <c r="I25" s="8">
        <f>I23+I24</f>
        <v/>
      </c>
      <c r="J25" s="8">
        <f>J23+J24</f>
        <v/>
      </c>
      <c r="K25" s="8">
        <f>K23+K24</f>
        <v/>
      </c>
      <c r="L25" s="8">
        <f>L23+L24</f>
        <v/>
      </c>
      <c r="M25" s="8">
        <f>M23+M24</f>
        <v/>
      </c>
      <c r="N25" s="8">
        <f>SUM(B25:M25)</f>
        <v/>
      </c>
      <c r="O25" s="6" t="inlineStr">
        <is>
          <t>Total penerimaan kas dari seluruh transaksi upgrade</t>
        </is>
      </c>
    </row>
    <row r="26" ht="20" customHeight="1">
      <c r="A26" s="3" t="inlineStr">
        <is>
          <t>IV. DINAMIKA PENGGUNA AKTIF BERBAYAR KAS &amp; AKUN PROMOSI (COMP) [S/A]</t>
        </is>
      </c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30" t="n"/>
    </row>
    <row r="27">
      <c r="A27" s="7" t="inlineStr">
        <is>
          <t>Pengguna Aktif Investor Pass 1-Bulan [A]</t>
        </is>
      </c>
      <c r="B27" s="22">
        <f>(B12+B18)-B22</f>
        <v/>
      </c>
      <c r="C27" s="22">
        <f>(C12+C18)-C22</f>
        <v/>
      </c>
      <c r="D27" s="22">
        <f>(D12+D18)-D22</f>
        <v/>
      </c>
      <c r="E27" s="22">
        <f>(E12+E18)-E22</f>
        <v/>
      </c>
      <c r="F27" s="22">
        <f>(F12+F18)-F22</f>
        <v/>
      </c>
      <c r="G27" s="22">
        <f>(G12+G18)-G22</f>
        <v/>
      </c>
      <c r="H27" s="22">
        <f>(H12+H18)-H22</f>
        <v/>
      </c>
      <c r="I27" s="22">
        <f>(I12+I18)-I22</f>
        <v/>
      </c>
      <c r="J27" s="22">
        <f>(J12+J18)-J22</f>
        <v/>
      </c>
      <c r="K27" s="22">
        <f>(K12+K18)-K22</f>
        <v/>
      </c>
      <c r="L27" s="22">
        <f>(L12+L18)-L22</f>
        <v/>
      </c>
      <c r="M27" s="22">
        <f>(M12+M18)-M22</f>
        <v/>
      </c>
      <c r="N27" s="22">
        <f>M27</f>
        <v/>
      </c>
      <c r="O27" s="4" t="inlineStr">
        <is>
          <t>Investor 1M aktif (dikurangi yang pindah ke Pakar)</t>
        </is>
      </c>
    </row>
    <row r="28">
      <c r="A28" s="7" t="inlineStr">
        <is>
          <t>Pengguna Aktif Investor Pass 12-Bulan (Kumulatif 365 Hari) [A]</t>
        </is>
      </c>
      <c r="B28" s="22">
        <f>B13</f>
        <v/>
      </c>
      <c r="C28" s="22">
        <f>B28+C13</f>
        <v/>
      </c>
      <c r="D28" s="22">
        <f>C28+D13</f>
        <v/>
      </c>
      <c r="E28" s="22">
        <f>D28+E13</f>
        <v/>
      </c>
      <c r="F28" s="22">
        <f>E28+F13</f>
        <v/>
      </c>
      <c r="G28" s="22">
        <f>F28+G13</f>
        <v/>
      </c>
      <c r="H28" s="22">
        <f>G28+H13</f>
        <v/>
      </c>
      <c r="I28" s="22">
        <f>H28+I13</f>
        <v/>
      </c>
      <c r="J28" s="22">
        <f>I28+J13</f>
        <v/>
      </c>
      <c r="K28" s="22">
        <f>J28+K13</f>
        <v/>
      </c>
      <c r="L28" s="22">
        <f>K28+L13</f>
        <v/>
      </c>
      <c r="M28" s="22">
        <f>L28+M13</f>
        <v/>
      </c>
      <c r="N28" s="22">
        <f>M28</f>
        <v/>
      </c>
      <c r="O28" s="4" t="inlineStr">
        <is>
          <t>Investor 12M aktif (tidak ada churn di Tahun ke-1)</t>
        </is>
      </c>
    </row>
    <row r="29">
      <c r="A29" s="7" t="inlineStr">
        <is>
          <t>Pengguna Aktif Pakar Pass 1-Bulan [A]</t>
        </is>
      </c>
      <c r="B29" s="22">
        <f>(B14+B19)+B22</f>
        <v/>
      </c>
      <c r="C29" s="22">
        <f>(C14+C19)+C22</f>
        <v/>
      </c>
      <c r="D29" s="22">
        <f>(D14+D19)+D22</f>
        <v/>
      </c>
      <c r="E29" s="22">
        <f>(E14+E19)+E22</f>
        <v/>
      </c>
      <c r="F29" s="22">
        <f>(F14+F19)+F22</f>
        <v/>
      </c>
      <c r="G29" s="22">
        <f>(G14+G19)+G22</f>
        <v/>
      </c>
      <c r="H29" s="22">
        <f>(H14+H19)+H22</f>
        <v/>
      </c>
      <c r="I29" s="22">
        <f>(I14+I19)+I22</f>
        <v/>
      </c>
      <c r="J29" s="22">
        <f>(J14+J19)+J22</f>
        <v/>
      </c>
      <c r="K29" s="22">
        <f>(K14+K19)+K22</f>
        <v/>
      </c>
      <c r="L29" s="22">
        <f>(L14+L19)+L22</f>
        <v/>
      </c>
      <c r="M29" s="22">
        <f>(M14+M19)+M22</f>
        <v/>
      </c>
      <c r="N29" s="22">
        <f>M29</f>
        <v/>
      </c>
      <c r="O29" s="4" t="inlineStr">
        <is>
          <t>Pakar 1M aktif (termasuk limpahan upgrade)</t>
        </is>
      </c>
    </row>
    <row r="30">
      <c r="A30" s="7" t="inlineStr">
        <is>
          <t>Pengguna Aktif Pakar Pass 12-Bulan (Kumulatif 365 Hari) [A]</t>
        </is>
      </c>
      <c r="B30" s="22">
        <f>B15</f>
        <v/>
      </c>
      <c r="C30" s="22">
        <f>B30+C15</f>
        <v/>
      </c>
      <c r="D30" s="22">
        <f>C30+D15</f>
        <v/>
      </c>
      <c r="E30" s="22">
        <f>D30+E15</f>
        <v/>
      </c>
      <c r="F30" s="22">
        <f>E30+F15</f>
        <v/>
      </c>
      <c r="G30" s="22">
        <f>F30+G15</f>
        <v/>
      </c>
      <c r="H30" s="22">
        <f>G30+H15</f>
        <v/>
      </c>
      <c r="I30" s="22">
        <f>H30+I15</f>
        <v/>
      </c>
      <c r="J30" s="22">
        <f>I30+J15</f>
        <v/>
      </c>
      <c r="K30" s="22">
        <f>J30+K15</f>
        <v/>
      </c>
      <c r="L30" s="22">
        <f>K30+L15</f>
        <v/>
      </c>
      <c r="M30" s="22">
        <f>L30+M15</f>
        <v/>
      </c>
      <c r="N30" s="22">
        <f>M30</f>
        <v/>
      </c>
      <c r="O30" s="4" t="inlineStr">
        <is>
          <t>Pakar 12M aktif (tidak ada churn di Tahun ke-1)</t>
        </is>
      </c>
    </row>
    <row r="31">
      <c r="A31" s="6" t="inlineStr">
        <is>
          <t>TOTAL PENGGUNA AKTIF BERBAYAR KAS [A]</t>
        </is>
      </c>
      <c r="B31" s="8">
        <f>SUM(B27:B30)</f>
        <v/>
      </c>
      <c r="C31" s="8">
        <f>SUM(C27:C30)</f>
        <v/>
      </c>
      <c r="D31" s="8">
        <f>SUM(D27:D30)</f>
        <v/>
      </c>
      <c r="E31" s="8">
        <f>SUM(E27:E30)</f>
        <v/>
      </c>
      <c r="F31" s="8">
        <f>SUM(F27:F30)</f>
        <v/>
      </c>
      <c r="G31" s="8">
        <f>SUM(G27:G30)</f>
        <v/>
      </c>
      <c r="H31" s="8">
        <f>SUM(H27:H30)</f>
        <v/>
      </c>
      <c r="I31" s="8">
        <f>SUM(I27:I30)</f>
        <v/>
      </c>
      <c r="J31" s="8">
        <f>SUM(J27:J30)</f>
        <v/>
      </c>
      <c r="K31" s="8">
        <f>SUM(K27:K30)</f>
        <v/>
      </c>
      <c r="L31" s="8">
        <f>SUM(L27:L30)</f>
        <v/>
      </c>
      <c r="M31" s="8">
        <f>SUM(M27:M30)</f>
        <v/>
      </c>
      <c r="N31" s="8">
        <f>M31</f>
        <v/>
      </c>
      <c r="O31" s="6" t="inlineStr">
        <is>
          <t>Pengguna berbayar riil yang memiliki pass aktif</t>
        </is>
      </c>
    </row>
    <row r="32">
      <c r="A32" s="7" t="inlineStr">
        <is>
          <t>Marketing Comp Accounts (Pakar Gratis) [S]</t>
        </is>
      </c>
      <c r="B32" s="22">
        <f>Model_Parameters!$B$23</f>
        <v/>
      </c>
      <c r="C32" s="22">
        <f>Model_Parameters!$B$23</f>
        <v/>
      </c>
      <c r="D32" s="22">
        <f>Model_Parameters!$B$23</f>
        <v/>
      </c>
      <c r="E32" s="22">
        <f>Model_Parameters!$B$23</f>
        <v/>
      </c>
      <c r="F32" s="22">
        <f>Model_Parameters!$B$23</f>
        <v/>
      </c>
      <c r="G32" s="22">
        <f>Model_Parameters!$B$23</f>
        <v/>
      </c>
      <c r="H32" s="22">
        <f>Model_Parameters!$B$23</f>
        <v/>
      </c>
      <c r="I32" s="22">
        <f>Model_Parameters!$B$23</f>
        <v/>
      </c>
      <c r="J32" s="22">
        <f>Model_Parameters!$B$23</f>
        <v/>
      </c>
      <c r="K32" s="22">
        <f>Model_Parameters!$B$23</f>
        <v/>
      </c>
      <c r="L32" s="22">
        <f>Model_Parameters!$B$23</f>
        <v/>
      </c>
      <c r="M32" s="22">
        <f>Model_Parameters!$B$23</f>
        <v/>
      </c>
      <c r="N32" s="22">
        <f>M32</f>
        <v/>
      </c>
      <c r="O32" s="4" t="inlineStr">
        <is>
          <t>5 akun Pakar promosi gratis (Influencer/Komunitas)</t>
        </is>
      </c>
    </row>
    <row r="33">
      <c r="A33" s="6" t="inlineStr">
        <is>
          <t>TOTAL AKUN AKTIF MENIKMATI AKSES [A]</t>
        </is>
      </c>
      <c r="B33" s="8">
        <f>B31+B32</f>
        <v/>
      </c>
      <c r="C33" s="8">
        <f>C31+C32</f>
        <v/>
      </c>
      <c r="D33" s="8">
        <f>D31+D32</f>
        <v/>
      </c>
      <c r="E33" s="8">
        <f>E31+E32</f>
        <v/>
      </c>
      <c r="F33" s="8">
        <f>F31+F32</f>
        <v/>
      </c>
      <c r="G33" s="8">
        <f>G31+G32</f>
        <v/>
      </c>
      <c r="H33" s="8">
        <f>H31+H32</f>
        <v/>
      </c>
      <c r="I33" s="8">
        <f>I31+I32</f>
        <v/>
      </c>
      <c r="J33" s="8">
        <f>J31+J32</f>
        <v/>
      </c>
      <c r="K33" s="8">
        <f>K31+K32</f>
        <v/>
      </c>
      <c r="L33" s="8">
        <f>L31+L32</f>
        <v/>
      </c>
      <c r="M33" s="8">
        <f>M31+M32</f>
        <v/>
      </c>
      <c r="N33" s="8">
        <f>M33</f>
        <v/>
      </c>
      <c r="O33" s="6" t="inlineStr">
        <is>
          <t>Total akun aktif (Berbayar riil + 5 Akun Comp)</t>
        </is>
      </c>
    </row>
    <row r="34">
      <c r="A34" s="24" t="inlineStr">
        <is>
          <t>Pemicu Migrasi VPS Fase 0 (&lt;5 Paying Users) [S]</t>
        </is>
      </c>
      <c r="B34" s="25">
        <f>B31</f>
        <v/>
      </c>
      <c r="C34" s="25">
        <f>C31</f>
        <v/>
      </c>
      <c r="D34" s="25">
        <f>D31</f>
        <v/>
      </c>
      <c r="E34" s="25">
        <f>E31</f>
        <v/>
      </c>
      <c r="F34" s="25">
        <f>F31</f>
        <v/>
      </c>
      <c r="G34" s="25">
        <f>G31</f>
        <v/>
      </c>
      <c r="H34" s="25">
        <f>H31</f>
        <v/>
      </c>
      <c r="I34" s="25">
        <f>I31</f>
        <v/>
      </c>
      <c r="J34" s="25">
        <f>J31</f>
        <v/>
      </c>
      <c r="K34" s="25">
        <f>K31</f>
        <v/>
      </c>
      <c r="L34" s="25">
        <f>L31</f>
        <v/>
      </c>
      <c r="M34" s="25">
        <f>M31</f>
        <v/>
      </c>
      <c r="N34" s="25">
        <f>M34</f>
        <v/>
      </c>
      <c r="O34" s="24" t="inlineStr">
        <is>
          <t>AUDIT: Comp Accounts TIDAK DIHITUNG! Hanya kas &gt; Rp 0</t>
        </is>
      </c>
    </row>
    <row r="35" ht="20" customHeight="1">
      <c r="A35" s="3" t="inlineStr">
        <is>
          <t>V. PENERIMAAN KAS BRUTO (IDR) [S/A]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30" t="n"/>
    </row>
    <row r="36">
      <c r="A36" s="7" t="inlineStr">
        <is>
          <t>Penerimaan Investor Pass 1-Bulan (Rp 19k) [S]</t>
        </is>
      </c>
      <c r="B36" s="22">
        <f>(B12+B18)*Model_Parameters!$B$7</f>
        <v/>
      </c>
      <c r="C36" s="22">
        <f>(C12+C18)*Model_Parameters!$B$7</f>
        <v/>
      </c>
      <c r="D36" s="22">
        <f>(D12+D18)*Model_Parameters!$B$7</f>
        <v/>
      </c>
      <c r="E36" s="22">
        <f>(E12+E18)*Model_Parameters!$B$7</f>
        <v/>
      </c>
      <c r="F36" s="22">
        <f>(F12+F18)*Model_Parameters!$B$7</f>
        <v/>
      </c>
      <c r="G36" s="22">
        <f>(G12+G18)*Model_Parameters!$B$7</f>
        <v/>
      </c>
      <c r="H36" s="22">
        <f>(H12+H18)*Model_Parameters!$B$7</f>
        <v/>
      </c>
      <c r="I36" s="22">
        <f>(I12+I18)*Model_Parameters!$B$7</f>
        <v/>
      </c>
      <c r="J36" s="22">
        <f>(J12+J18)*Model_Parameters!$B$7</f>
        <v/>
      </c>
      <c r="K36" s="22">
        <f>(K12+K18)*Model_Parameters!$B$7</f>
        <v/>
      </c>
      <c r="L36" s="22">
        <f>(L12+L18)*Model_Parameters!$B$7</f>
        <v/>
      </c>
      <c r="M36" s="22">
        <f>(M12+M18)*Model_Parameters!$B$7</f>
        <v/>
      </c>
      <c r="N36" s="22">
        <f>SUM(B36:M36)</f>
        <v/>
      </c>
      <c r="O36" s="4" t="inlineStr">
        <is>
          <t>Penjualan baru + perpanjangan manual Investor 1M</t>
        </is>
      </c>
    </row>
    <row r="37">
      <c r="A37" s="7" t="inlineStr">
        <is>
          <t>Penerimaan Investor Pass 12-Bulan (Rp 190k) [S]</t>
        </is>
      </c>
      <c r="B37" s="22">
        <f>B13*Model_Parameters!$B$8</f>
        <v/>
      </c>
      <c r="C37" s="22">
        <f>C13*Model_Parameters!$B$8</f>
        <v/>
      </c>
      <c r="D37" s="22">
        <f>D13*Model_Parameters!$B$8</f>
        <v/>
      </c>
      <c r="E37" s="22">
        <f>E13*Model_Parameters!$B$8</f>
        <v/>
      </c>
      <c r="F37" s="22">
        <f>F13*Model_Parameters!$B$8</f>
        <v/>
      </c>
      <c r="G37" s="22">
        <f>G13*Model_Parameters!$B$8</f>
        <v/>
      </c>
      <c r="H37" s="22">
        <f>H13*Model_Parameters!$B$8</f>
        <v/>
      </c>
      <c r="I37" s="22">
        <f>I13*Model_Parameters!$B$8</f>
        <v/>
      </c>
      <c r="J37" s="22">
        <f>J13*Model_Parameters!$B$8</f>
        <v/>
      </c>
      <c r="K37" s="22">
        <f>K13*Model_Parameters!$B$8</f>
        <v/>
      </c>
      <c r="L37" s="22">
        <f>L13*Model_Parameters!$B$8</f>
        <v/>
      </c>
      <c r="M37" s="22">
        <f>M13*Model_Parameters!$B$8</f>
        <v/>
      </c>
      <c r="N37" s="22">
        <f>SUM(B37:M37)</f>
        <v/>
      </c>
      <c r="O37" s="4" t="inlineStr">
        <is>
          <t>Penjualan Investor 12M di muka</t>
        </is>
      </c>
    </row>
    <row r="38">
      <c r="A38" s="7" t="inlineStr">
        <is>
          <t>Penerimaan Pakar Pass 1-Bulan (Rp 49k) [S]</t>
        </is>
      </c>
      <c r="B38" s="22">
        <f>(B14+B19)*Model_Parameters!$B$9</f>
        <v/>
      </c>
      <c r="C38" s="22">
        <f>(C14+C19)*Model_Parameters!$B$9</f>
        <v/>
      </c>
      <c r="D38" s="22">
        <f>(D14+D19)*Model_Parameters!$B$9</f>
        <v/>
      </c>
      <c r="E38" s="22">
        <f>(E14+E19)*Model_Parameters!$B$9</f>
        <v/>
      </c>
      <c r="F38" s="22">
        <f>(F14+F19)*Model_Parameters!$B$9</f>
        <v/>
      </c>
      <c r="G38" s="22">
        <f>(G14+G19)*Model_Parameters!$B$9</f>
        <v/>
      </c>
      <c r="H38" s="22">
        <f>(H14+H19)*Model_Parameters!$B$9</f>
        <v/>
      </c>
      <c r="I38" s="22">
        <f>(I14+I19)*Model_Parameters!$B$9</f>
        <v/>
      </c>
      <c r="J38" s="22">
        <f>(J14+J19)*Model_Parameters!$B$9</f>
        <v/>
      </c>
      <c r="K38" s="22">
        <f>(K14+K19)*Model_Parameters!$B$9</f>
        <v/>
      </c>
      <c r="L38" s="22">
        <f>(L14+L19)*Model_Parameters!$B$9</f>
        <v/>
      </c>
      <c r="M38" s="22">
        <f>(M14+M19)*Model_Parameters!$B$9</f>
        <v/>
      </c>
      <c r="N38" s="22">
        <f>SUM(B38:M38)</f>
        <v/>
      </c>
      <c r="O38" s="4" t="inlineStr">
        <is>
          <t>Penjualan baru + perpanjangan manual Pakar 1M</t>
        </is>
      </c>
    </row>
    <row r="39">
      <c r="A39" s="7" t="inlineStr">
        <is>
          <t>Penerimaan Pakar Pass 12-Bulan (Rp 490k) [S]</t>
        </is>
      </c>
      <c r="B39" s="22">
        <f>B15*Model_Parameters!$B$10</f>
        <v/>
      </c>
      <c r="C39" s="22">
        <f>C15*Model_Parameters!$B$10</f>
        <v/>
      </c>
      <c r="D39" s="22">
        <f>D15*Model_Parameters!$B$10</f>
        <v/>
      </c>
      <c r="E39" s="22">
        <f>E15*Model_Parameters!$B$10</f>
        <v/>
      </c>
      <c r="F39" s="22">
        <f>F15*Model_Parameters!$B$10</f>
        <v/>
      </c>
      <c r="G39" s="22">
        <f>G15*Model_Parameters!$B$10</f>
        <v/>
      </c>
      <c r="H39" s="22">
        <f>H15*Model_Parameters!$B$10</f>
        <v/>
      </c>
      <c r="I39" s="22">
        <f>I15*Model_Parameters!$B$10</f>
        <v/>
      </c>
      <c r="J39" s="22">
        <f>J15*Model_Parameters!$B$10</f>
        <v/>
      </c>
      <c r="K39" s="22">
        <f>K15*Model_Parameters!$B$10</f>
        <v/>
      </c>
      <c r="L39" s="22">
        <f>L15*Model_Parameters!$B$10</f>
        <v/>
      </c>
      <c r="M39" s="22">
        <f>M15*Model_Parameters!$B$10</f>
        <v/>
      </c>
      <c r="N39" s="22">
        <f>SUM(B39:M39)</f>
        <v/>
      </c>
      <c r="O39" s="4" t="inlineStr">
        <is>
          <t>Penjualan Pakar 12M di muka</t>
        </is>
      </c>
    </row>
    <row r="40">
      <c r="A40" s="7" t="inlineStr">
        <is>
          <t>Penerimaan Upgrade Tier Investor -&gt; Pakar [A]</t>
        </is>
      </c>
      <c r="B40" s="22">
        <f>B25</f>
        <v/>
      </c>
      <c r="C40" s="22">
        <f>C25</f>
        <v/>
      </c>
      <c r="D40" s="22">
        <f>D25</f>
        <v/>
      </c>
      <c r="E40" s="22">
        <f>E25</f>
        <v/>
      </c>
      <c r="F40" s="22">
        <f>F25</f>
        <v/>
      </c>
      <c r="G40" s="22">
        <f>G25</f>
        <v/>
      </c>
      <c r="H40" s="22">
        <f>H25</f>
        <v/>
      </c>
      <c r="I40" s="22">
        <f>I25</f>
        <v/>
      </c>
      <c r="J40" s="22">
        <f>J25</f>
        <v/>
      </c>
      <c r="K40" s="22">
        <f>K25</f>
        <v/>
      </c>
      <c r="L40" s="22">
        <f>L25</f>
        <v/>
      </c>
      <c r="M40" s="22">
        <f>M25</f>
        <v/>
      </c>
      <c r="N40" s="22">
        <f>SUM(B40:M40)</f>
        <v/>
      </c>
      <c r="O40" s="4" t="inlineStr">
        <is>
          <t>Kas masuk tambahan dari upgrade tier</t>
        </is>
      </c>
    </row>
    <row r="41">
      <c r="A41" s="12" t="inlineStr">
        <is>
          <t>TOTAL PENERIMAAN KAS BRUTO [A]</t>
        </is>
      </c>
      <c r="B41" s="14">
        <f>SUM(B36:B40)</f>
        <v/>
      </c>
      <c r="C41" s="14">
        <f>SUM(C36:C40)</f>
        <v/>
      </c>
      <c r="D41" s="14">
        <f>SUM(D36:D40)</f>
        <v/>
      </c>
      <c r="E41" s="14">
        <f>SUM(E36:E40)</f>
        <v/>
      </c>
      <c r="F41" s="14">
        <f>SUM(F36:F40)</f>
        <v/>
      </c>
      <c r="G41" s="14">
        <f>SUM(G36:G40)</f>
        <v/>
      </c>
      <c r="H41" s="14">
        <f>SUM(H36:H40)</f>
        <v/>
      </c>
      <c r="I41" s="14">
        <f>SUM(I36:I40)</f>
        <v/>
      </c>
      <c r="J41" s="14">
        <f>SUM(J36:J40)</f>
        <v/>
      </c>
      <c r="K41" s="14">
        <f>SUM(K36:K40)</f>
        <v/>
      </c>
      <c r="L41" s="14">
        <f>SUM(L36:L40)</f>
        <v/>
      </c>
      <c r="M41" s="14">
        <f>SUM(M36:M40)</f>
        <v/>
      </c>
      <c r="N41" s="14">
        <f>SUM(B41:M41)</f>
        <v/>
      </c>
      <c r="O41" s="12" t="inlineStr">
        <is>
          <t>Total kas masuk kotor ke payment gateway</t>
        </is>
      </c>
    </row>
    <row r="42" ht="20" customHeight="1">
      <c r="A42" s="3" t="inlineStr">
        <is>
          <t>VI. BIAYA VARIABEL &amp; PAYMENT GATEWAY (IDR) [S/A]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30" t="n"/>
    </row>
    <row r="43">
      <c r="A43" s="7" t="inlineStr">
        <is>
          <t>Biaya Payment Gateway (QRIS-First ~1,8%) [S]</t>
        </is>
      </c>
      <c r="B43" s="22">
        <f>(B12+B18)*504+B13*2111+(B14+B19)*786+B15*4931+B40*0.015</f>
        <v/>
      </c>
      <c r="C43" s="22">
        <f>(C12+C18)*504+C13*2111+(C14+C19)*786+C15*4931+C40*0.015</f>
        <v/>
      </c>
      <c r="D43" s="22">
        <f>(D12+D18)*504+D13*2111+(D14+D19)*786+D15*4931+D40*0.015</f>
        <v/>
      </c>
      <c r="E43" s="22">
        <f>(E12+E18)*504+E13*2111+(E14+E19)*786+E15*4931+E40*0.015</f>
        <v/>
      </c>
      <c r="F43" s="22">
        <f>(F12+F18)*504+F13*2111+(F14+F19)*786+F15*4931+F40*0.015</f>
        <v/>
      </c>
      <c r="G43" s="22">
        <f>(G12+G18)*504+G13*2111+(G14+G19)*786+G15*4931+G40*0.015</f>
        <v/>
      </c>
      <c r="H43" s="22">
        <f>(H12+H18)*504+H13*2111+(H14+H19)*786+H15*4931+H40*0.015</f>
        <v/>
      </c>
      <c r="I43" s="22">
        <f>(I12+I18)*504+I13*2111+(I14+I19)*786+I15*4931+I40*0.015</f>
        <v/>
      </c>
      <c r="J43" s="22">
        <f>(J12+J18)*504+J13*2111+(J14+J19)*786+J15*4931+J40*0.015</f>
        <v/>
      </c>
      <c r="K43" s="22">
        <f>(K12+K18)*504+K13*2111+(K14+K19)*786+K15*4931+K40*0.015</f>
        <v/>
      </c>
      <c r="L43" s="22">
        <f>(L12+L18)*504+L13*2111+(L14+L19)*786+L15*4931+L40*0.015</f>
        <v/>
      </c>
      <c r="M43" s="22">
        <f>(M12+M18)*504+M13*2111+(M14+M19)*786+M15*4931+M40*0.015</f>
        <v/>
      </c>
      <c r="N43" s="22">
        <f>SUM(B43:M43)</f>
        <v/>
      </c>
      <c r="O43" s="4" t="inlineStr">
        <is>
          <t>Potongan MDR Xendit (QRIS 0,7%, EW 1,8%)</t>
        </is>
      </c>
    </row>
    <row r="44">
      <c r="A44" s="7" t="inlineStr">
        <is>
          <t>Cadangan Pengembalian / Refunds (1,0%) [A]</t>
        </is>
      </c>
      <c r="B44" s="22">
        <f>B41*Model_Parameters!$B$50</f>
        <v/>
      </c>
      <c r="C44" s="22">
        <f>C41*Model_Parameters!$B$50</f>
        <v/>
      </c>
      <c r="D44" s="22">
        <f>D41*Model_Parameters!$B$50</f>
        <v/>
      </c>
      <c r="E44" s="22">
        <f>E41*Model_Parameters!$B$50</f>
        <v/>
      </c>
      <c r="F44" s="22">
        <f>F41*Model_Parameters!$B$50</f>
        <v/>
      </c>
      <c r="G44" s="22">
        <f>G41*Model_Parameters!$B$50</f>
        <v/>
      </c>
      <c r="H44" s="22">
        <f>H41*Model_Parameters!$B$50</f>
        <v/>
      </c>
      <c r="I44" s="22">
        <f>I41*Model_Parameters!$B$50</f>
        <v/>
      </c>
      <c r="J44" s="22">
        <f>J41*Model_Parameters!$B$50</f>
        <v/>
      </c>
      <c r="K44" s="22">
        <f>K41*Model_Parameters!$B$50</f>
        <v/>
      </c>
      <c r="L44" s="22">
        <f>L41*Model_Parameters!$B$50</f>
        <v/>
      </c>
      <c r="M44" s="22">
        <f>M41*Model_Parameters!$B$50</f>
        <v/>
      </c>
      <c r="N44" s="22">
        <f>SUM(B44:M44)</f>
        <v/>
      </c>
      <c r="O44" s="4" t="inlineStr">
        <is>
          <t>Cadangan risiko sengketa/transaksi dobel (1%)</t>
        </is>
      </c>
    </row>
    <row r="45">
      <c r="A45" s="7" t="inlineStr">
        <is>
          <t>Biaya Settlement Gateway (4x @ Rp 5k) [S]</t>
        </is>
      </c>
      <c r="B45" s="22">
        <f>Model_Parameters!$B$51*4</f>
        <v/>
      </c>
      <c r="C45" s="22">
        <f>Model_Parameters!$B$51*4</f>
        <v/>
      </c>
      <c r="D45" s="22">
        <f>Model_Parameters!$B$51*4</f>
        <v/>
      </c>
      <c r="E45" s="22">
        <f>Model_Parameters!$B$51*4</f>
        <v/>
      </c>
      <c r="F45" s="22">
        <f>Model_Parameters!$B$51*4</f>
        <v/>
      </c>
      <c r="G45" s="22">
        <f>Model_Parameters!$B$51*4</f>
        <v/>
      </c>
      <c r="H45" s="22">
        <f>Model_Parameters!$B$51*4</f>
        <v/>
      </c>
      <c r="I45" s="22">
        <f>Model_Parameters!$B$51*4</f>
        <v/>
      </c>
      <c r="J45" s="22">
        <f>Model_Parameters!$B$51*4</f>
        <v/>
      </c>
      <c r="K45" s="22">
        <f>Model_Parameters!$B$51*4</f>
        <v/>
      </c>
      <c r="L45" s="22">
        <f>Model_Parameters!$B$51*4</f>
        <v/>
      </c>
      <c r="M45" s="22">
        <f>Model_Parameters!$B$51*4</f>
        <v/>
      </c>
      <c r="N45" s="22">
        <f>SUM(B45:M45)</f>
        <v/>
      </c>
      <c r="O45" s="4" t="inlineStr">
        <is>
          <t>Tarif tarik dana mingguan ke rekening bank</t>
        </is>
      </c>
    </row>
    <row r="46">
      <c r="A46" s="6" t="inlineStr">
        <is>
          <t>TOTAL BIAYA VARIABEL [A]</t>
        </is>
      </c>
      <c r="B46" s="8">
        <f>SUM(B43:B45)</f>
        <v/>
      </c>
      <c r="C46" s="8">
        <f>SUM(C43:C45)</f>
        <v/>
      </c>
      <c r="D46" s="8">
        <f>SUM(D43:D45)</f>
        <v/>
      </c>
      <c r="E46" s="8">
        <f>SUM(E43:E45)</f>
        <v/>
      </c>
      <c r="F46" s="8">
        <f>SUM(F43:F45)</f>
        <v/>
      </c>
      <c r="G46" s="8">
        <f>SUM(G43:G45)</f>
        <v/>
      </c>
      <c r="H46" s="8">
        <f>SUM(H43:H45)</f>
        <v/>
      </c>
      <c r="I46" s="8">
        <f>SUM(I43:I45)</f>
        <v/>
      </c>
      <c r="J46" s="8">
        <f>SUM(J43:J45)</f>
        <v/>
      </c>
      <c r="K46" s="8">
        <f>SUM(K43:K45)</f>
        <v/>
      </c>
      <c r="L46" s="8">
        <f>SUM(L43:L45)</f>
        <v/>
      </c>
      <c r="M46" s="8">
        <f>SUM(M43:M45)</f>
        <v/>
      </c>
      <c r="N46" s="8">
        <f>SUM(B46:M46)</f>
        <v/>
      </c>
      <c r="O46" s="6" t="inlineStr">
        <is>
          <t>Total biaya variabel pemrosesan transaksi</t>
        </is>
      </c>
    </row>
    <row r="47">
      <c r="A47" s="12" t="inlineStr">
        <is>
          <t>PENERIMAAN KAS BERSIH (Net Cash Inflow) [A]</t>
        </is>
      </c>
      <c r="B47" s="14">
        <f>B41-B46</f>
        <v/>
      </c>
      <c r="C47" s="14">
        <f>C41-C46</f>
        <v/>
      </c>
      <c r="D47" s="14">
        <f>D41-D46</f>
        <v/>
      </c>
      <c r="E47" s="14">
        <f>E41-E46</f>
        <v/>
      </c>
      <c r="F47" s="14">
        <f>F41-F46</f>
        <v/>
      </c>
      <c r="G47" s="14">
        <f>G41-G46</f>
        <v/>
      </c>
      <c r="H47" s="14">
        <f>H41-H46</f>
        <v/>
      </c>
      <c r="I47" s="14">
        <f>I41-I46</f>
        <v/>
      </c>
      <c r="J47" s="14">
        <f>J41-J46</f>
        <v/>
      </c>
      <c r="K47" s="14">
        <f>K41-K46</f>
        <v/>
      </c>
      <c r="L47" s="14">
        <f>L41-L46</f>
        <v/>
      </c>
      <c r="M47" s="14">
        <f>M41-M46</f>
        <v/>
      </c>
      <c r="N47" s="14">
        <f>SUM(B47:M47)</f>
        <v/>
      </c>
      <c r="O47" s="12" t="inlineStr">
        <is>
          <t>Kas bersih setelah potongan gateway &amp; refund</t>
        </is>
      </c>
    </row>
    <row r="48" ht="20" customHeight="1">
      <c r="A48" s="3" t="inlineStr">
        <is>
          <t>VII. BEBAN OPERASIONAL TETAP (OPEX - IDR) [PHASE 0 VPS + AI SQUAD] [S/A]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30" t="n"/>
    </row>
    <row r="49">
      <c r="A49" s="7" t="inlineStr">
        <is>
          <t>Infrastruktur Hosting &amp; VPS (Phase 0 vs Vercel Pro) [S]</t>
        </is>
      </c>
      <c r="B49" s="22">
        <f>IF(B34&lt;5, Model_Parameters!$B$39, Model_Parameters!$C$39)</f>
        <v/>
      </c>
      <c r="C49" s="22">
        <f>IF(C34&lt;5, Model_Parameters!$B$39, Model_Parameters!$C$39)</f>
        <v/>
      </c>
      <c r="D49" s="22">
        <f>IF(D34&lt;5, Model_Parameters!$B$39, Model_Parameters!$C$39)</f>
        <v/>
      </c>
      <c r="E49" s="22">
        <f>IF(E34&lt;5, Model_Parameters!$B$39, Model_Parameters!$C$39)</f>
        <v/>
      </c>
      <c r="F49" s="22">
        <f>IF(F34&lt;5, Model_Parameters!$B$39, Model_Parameters!$C$39)</f>
        <v/>
      </c>
      <c r="G49" s="22">
        <f>IF(G34&lt;5, Model_Parameters!$B$39, Model_Parameters!$C$39)</f>
        <v/>
      </c>
      <c r="H49" s="22">
        <f>IF(H34&lt;5, Model_Parameters!$B$39, Model_Parameters!$C$39)</f>
        <v/>
      </c>
      <c r="I49" s="22">
        <f>IF(I34&lt;5, Model_Parameters!$B$39, Model_Parameters!$C$39)</f>
        <v/>
      </c>
      <c r="J49" s="22">
        <f>IF(J34&lt;5, Model_Parameters!$B$39, Model_Parameters!$C$39)</f>
        <v/>
      </c>
      <c r="K49" s="22">
        <f>IF(K34&lt;5, Model_Parameters!$B$39, Model_Parameters!$C$39)</f>
        <v/>
      </c>
      <c r="L49" s="22">
        <f>IF(L34&lt;5, Model_Parameters!$B$39, Model_Parameters!$C$39)</f>
        <v/>
      </c>
      <c r="M49" s="22">
        <f>IF(M34&lt;5, Model_Parameters!$B$39, Model_Parameters!$C$39)</f>
        <v/>
      </c>
      <c r="N49" s="22">
        <f>SUM(B49:M49)</f>
        <v/>
      </c>
      <c r="O49" s="4" t="inlineStr">
        <is>
          <t>Fase 0 VPS Rp 70k saat paying &lt; 5; Vercel Pro Rp 390k saat &gt;= 5</t>
        </is>
      </c>
    </row>
    <row r="50">
      <c r="A50" s="7" t="inlineStr">
        <is>
          <t>Biaya Operasional AI Agent Squad (Claude USD 20 @ Rp 16k) [S]</t>
        </is>
      </c>
      <c r="B50" s="22">
        <f>Model_Parameters!$B$40</f>
        <v/>
      </c>
      <c r="C50" s="22">
        <f>Model_Parameters!$B$40</f>
        <v/>
      </c>
      <c r="D50" s="22">
        <f>Model_Parameters!$B$40</f>
        <v/>
      </c>
      <c r="E50" s="22">
        <f>Model_Parameters!$B$40</f>
        <v/>
      </c>
      <c r="F50" s="22">
        <f>Model_Parameters!$B$40</f>
        <v/>
      </c>
      <c r="G50" s="22">
        <f>Model_Parameters!$B$40</f>
        <v/>
      </c>
      <c r="H50" s="22">
        <f>Model_Parameters!$B$40</f>
        <v/>
      </c>
      <c r="I50" s="22">
        <f>Model_Parameters!$B$40</f>
        <v/>
      </c>
      <c r="J50" s="22">
        <f>Model_Parameters!$B$40</f>
        <v/>
      </c>
      <c r="K50" s="22">
        <f>Model_Parameters!$B$40</f>
        <v/>
      </c>
      <c r="L50" s="22">
        <f>Model_Parameters!$B$40</f>
        <v/>
      </c>
      <c r="M50" s="22">
        <f>Model_Parameters!$B$40</f>
        <v/>
      </c>
      <c r="N50" s="22">
        <f>SUM(B50:M50)</f>
        <v/>
      </c>
      <c r="O50" s="4" t="inlineStr">
        <is>
          <t>Biaya flat langganan Claude squad 11 agen via gateway</t>
        </is>
      </c>
    </row>
    <row r="51">
      <c r="A51" s="7" t="inlineStr">
        <is>
          <t>Feed Data Pasar Resmi (EODHD $20 mulai M4) [S]</t>
        </is>
      </c>
      <c r="B51" s="22">
        <f>IF(OR(1&gt;=4, B31&gt;=50), Model_Parameters!$D$41, 0)</f>
        <v/>
      </c>
      <c r="C51" s="22">
        <f>IF(OR(2&gt;=4, C31&gt;=50), Model_Parameters!$D$41, 0)</f>
        <v/>
      </c>
      <c r="D51" s="22">
        <f>IF(OR(3&gt;=4, D31&gt;=50), Model_Parameters!$D$41, 0)</f>
        <v/>
      </c>
      <c r="E51" s="22">
        <f>IF(OR(4&gt;=4, E31&gt;=50), Model_Parameters!$D$41, 0)</f>
        <v/>
      </c>
      <c r="F51" s="22">
        <f>IF(OR(5&gt;=4, F31&gt;=50), Model_Parameters!$D$41, 0)</f>
        <v/>
      </c>
      <c r="G51" s="22">
        <f>IF(OR(6&gt;=4, G31&gt;=50), Model_Parameters!$D$41, 0)</f>
        <v/>
      </c>
      <c r="H51" s="22">
        <f>IF(OR(7&gt;=4, H31&gt;=50), Model_Parameters!$D$41, 0)</f>
        <v/>
      </c>
      <c r="I51" s="22">
        <f>IF(OR(8&gt;=4, I31&gt;=50), Model_Parameters!$D$41, 0)</f>
        <v/>
      </c>
      <c r="J51" s="22">
        <f>IF(OR(9&gt;=4, J31&gt;=50), Model_Parameters!$D$41, 0)</f>
        <v/>
      </c>
      <c r="K51" s="22">
        <f>IF(OR(10&gt;=4, K31&gt;=50), Model_Parameters!$D$41, 0)</f>
        <v/>
      </c>
      <c r="L51" s="22">
        <f>IF(OR(11&gt;=4, L31&gt;=50), Model_Parameters!$D$41, 0)</f>
        <v/>
      </c>
      <c r="M51" s="22">
        <f>IF(OR(12&gt;=4, M31&gt;=50), Model_Parameters!$D$41, 0)</f>
        <v/>
      </c>
      <c r="N51" s="22">
        <f>SUM(B51:M51)</f>
        <v/>
      </c>
      <c r="O51" s="4" t="inlineStr">
        <is>
          <t>Feed resmi EODHD komersial saat aktif &gt;= 50 subs</t>
        </is>
      </c>
    </row>
    <row r="52">
      <c r="A52" s="7" t="inlineStr">
        <is>
          <t>Database &amp; Autentikasi (SQLite + Litestream Fase 0 / Neon PG) [S]</t>
        </is>
      </c>
      <c r="B52" s="22">
        <f>IF(OR(1&gt;=7, B31&gt;=500), Model_Parameters!$E$42, 0)</f>
        <v/>
      </c>
      <c r="C52" s="22">
        <f>IF(OR(2&gt;=7, C31&gt;=500), Model_Parameters!$E$42, 0)</f>
        <v/>
      </c>
      <c r="D52" s="22">
        <f>IF(OR(3&gt;=7, D31&gt;=500), Model_Parameters!$E$42, 0)</f>
        <v/>
      </c>
      <c r="E52" s="22">
        <f>IF(OR(4&gt;=7, E31&gt;=500), Model_Parameters!$E$42, 0)</f>
        <v/>
      </c>
      <c r="F52" s="22">
        <f>IF(OR(5&gt;=7, F31&gt;=500), Model_Parameters!$E$42, 0)</f>
        <v/>
      </c>
      <c r="G52" s="22">
        <f>IF(OR(6&gt;=7, G31&gt;=500), Model_Parameters!$E$42, 0)</f>
        <v/>
      </c>
      <c r="H52" s="22">
        <f>IF(OR(7&gt;=7, H31&gt;=500), Model_Parameters!$E$42, 0)</f>
        <v/>
      </c>
      <c r="I52" s="22">
        <f>IF(OR(8&gt;=7, I31&gt;=500), Model_Parameters!$E$42, 0)</f>
        <v/>
      </c>
      <c r="J52" s="22">
        <f>IF(OR(9&gt;=7, J31&gt;=500), Model_Parameters!$E$42, 0)</f>
        <v/>
      </c>
      <c r="K52" s="22">
        <f>IF(OR(10&gt;=7, K31&gt;=500), Model_Parameters!$E$42, 0)</f>
        <v/>
      </c>
      <c r="L52" s="22">
        <f>IF(OR(11&gt;=7, L31&gt;=500), Model_Parameters!$E$42, 0)</f>
        <v/>
      </c>
      <c r="M52" s="22">
        <f>IF(OR(12&gt;=7, M31&gt;=500), Model_Parameters!$E$42, 0)</f>
        <v/>
      </c>
      <c r="N52" s="22">
        <f>SUM(B52:M52)</f>
        <v/>
      </c>
      <c r="O52" s="4" t="inlineStr">
        <is>
          <t>SQLite+Litestream di VPS (Rp 0); Supabase Pro didrop per Jim D3</t>
        </is>
      </c>
    </row>
    <row r="53">
      <c r="A53" s="7" t="inlineStr">
        <is>
          <t>Alokasi Pemasaran &amp; Edukasi Komunitas [A]</t>
        </is>
      </c>
      <c r="B53" s="22" t="n">
        <v>350000</v>
      </c>
      <c r="C53" s="22" t="n">
        <v>350000</v>
      </c>
      <c r="D53" s="22" t="n">
        <v>350000</v>
      </c>
      <c r="E53" s="22" t="n">
        <v>600000</v>
      </c>
      <c r="F53" s="22" t="n">
        <v>600000</v>
      </c>
      <c r="G53" s="22" t="n">
        <v>600000</v>
      </c>
      <c r="H53" s="22" t="n">
        <v>1000000</v>
      </c>
      <c r="I53" s="22" t="n">
        <v>1000000</v>
      </c>
      <c r="J53" s="22" t="n">
        <v>1000000</v>
      </c>
      <c r="K53" s="22" t="n">
        <v>1000000</v>
      </c>
      <c r="L53" s="22" t="n">
        <v>1000000</v>
      </c>
      <c r="M53" s="22" t="n">
        <v>1000000</v>
      </c>
      <c r="N53" s="22">
        <f>SUM(B53:M53)</f>
        <v/>
      </c>
      <c r="O53" s="4" t="inlineStr">
        <is>
          <t>Anggaran seeding konten, infografis &amp; kemitraan</t>
        </is>
      </c>
    </row>
    <row r="54">
      <c r="A54" s="7" t="inlineStr">
        <is>
          <t>Biaya Jasa Kepatuhan Pajak / Akuntan (Asumsi) [A]</t>
        </is>
      </c>
      <c r="B54" s="22" t="n">
        <v>0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>
        <f>SUM(B54:M54)</f>
        <v/>
      </c>
      <c r="O54" s="4" t="inlineStr">
        <is>
          <t>Lapor mandiri WPOP (Rp 0 di awal)</t>
        </is>
      </c>
    </row>
    <row r="55">
      <c r="A55" s="12" t="inlineStr">
        <is>
          <t>TOTAL BEBAN OPERASIONAL TETAP (OPEX) [A]</t>
        </is>
      </c>
      <c r="B55" s="14">
        <f>SUM(B49:B54)</f>
        <v/>
      </c>
      <c r="C55" s="14">
        <f>SUM(C49:C54)</f>
        <v/>
      </c>
      <c r="D55" s="14">
        <f>SUM(D49:D54)</f>
        <v/>
      </c>
      <c r="E55" s="14">
        <f>SUM(E49:E54)</f>
        <v/>
      </c>
      <c r="F55" s="14">
        <f>SUM(F49:F54)</f>
        <v/>
      </c>
      <c r="G55" s="14">
        <f>SUM(G49:G54)</f>
        <v/>
      </c>
      <c r="H55" s="14">
        <f>SUM(H49:H54)</f>
        <v/>
      </c>
      <c r="I55" s="14">
        <f>SUM(I49:I54)</f>
        <v/>
      </c>
      <c r="J55" s="14">
        <f>SUM(J49:J54)</f>
        <v/>
      </c>
      <c r="K55" s="14">
        <f>SUM(K49:K54)</f>
        <v/>
      </c>
      <c r="L55" s="14">
        <f>SUM(L49:L54)</f>
        <v/>
      </c>
      <c r="M55" s="14">
        <f>SUM(M49:M54)</f>
        <v/>
      </c>
      <c r="N55" s="14">
        <f>SUM(B55:M55)</f>
        <v/>
      </c>
      <c r="O55" s="12" t="inlineStr">
        <is>
          <t>Total beban kas operasional wajib bulanan</t>
        </is>
      </c>
    </row>
    <row r="56" ht="20" customHeight="1">
      <c r="A56" s="3" t="inlineStr">
        <is>
          <t>VIII. PROFITABILITAS OPERASIONAL, PAJAK &amp; SALDO KAS AKUMULATIF (IDR) [S/A]</t>
        </is>
      </c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30" t="n"/>
    </row>
    <row r="57">
      <c r="A57" s="12" t="inlineStr">
        <is>
          <t>LABA OPERASIONAL KAS (EBITDA) [A]</t>
        </is>
      </c>
      <c r="B57" s="14">
        <f>B47-B55</f>
        <v/>
      </c>
      <c r="C57" s="14">
        <f>C47-C55</f>
        <v/>
      </c>
      <c r="D57" s="14">
        <f>D47-D55</f>
        <v/>
      </c>
      <c r="E57" s="14">
        <f>E47-E55</f>
        <v/>
      </c>
      <c r="F57" s="14">
        <f>F47-F55</f>
        <v/>
      </c>
      <c r="G57" s="14">
        <f>G47-G55</f>
        <v/>
      </c>
      <c r="H57" s="14">
        <f>H47-H55</f>
        <v/>
      </c>
      <c r="I57" s="14">
        <f>I47-I55</f>
        <v/>
      </c>
      <c r="J57" s="14">
        <f>J47-J55</f>
        <v/>
      </c>
      <c r="K57" s="14">
        <f>K47-K55</f>
        <v/>
      </c>
      <c r="L57" s="14">
        <f>L47-L55</f>
        <v/>
      </c>
      <c r="M57" s="14">
        <f>M47-M55</f>
        <v/>
      </c>
      <c r="N57" s="14">
        <f>SUM(B57:M57)</f>
        <v/>
      </c>
      <c r="O57" s="12" t="inlineStr">
        <is>
          <t>Kas Bersih - OpEx Tetap</t>
        </is>
      </c>
    </row>
    <row r="58">
      <c r="A58" s="6" t="inlineStr">
        <is>
          <t>Margin Laba Kas EBITDA (%) [A]</t>
        </is>
      </c>
      <c r="B58" s="23">
        <f>IF(B41&gt;0, B57/B41, 0)</f>
        <v/>
      </c>
      <c r="C58" s="23">
        <f>IF(C41&gt;0, C57/C41, 0)</f>
        <v/>
      </c>
      <c r="D58" s="23">
        <f>IF(D41&gt;0, D57/D41, 0)</f>
        <v/>
      </c>
      <c r="E58" s="23">
        <f>IF(E41&gt;0, E57/E41, 0)</f>
        <v/>
      </c>
      <c r="F58" s="23">
        <f>IF(F41&gt;0, F57/F41, 0)</f>
        <v/>
      </c>
      <c r="G58" s="23">
        <f>IF(G41&gt;0, G57/G41, 0)</f>
        <v/>
      </c>
      <c r="H58" s="23">
        <f>IF(H41&gt;0, H57/H41, 0)</f>
        <v/>
      </c>
      <c r="I58" s="23">
        <f>IF(I41&gt;0, I57/I41, 0)</f>
        <v/>
      </c>
      <c r="J58" s="23">
        <f>IF(J41&gt;0, J57/J41, 0)</f>
        <v/>
      </c>
      <c r="K58" s="23">
        <f>IF(K41&gt;0, K57/K41, 0)</f>
        <v/>
      </c>
      <c r="L58" s="23">
        <f>IF(L41&gt;0, L57/L41, 0)</f>
        <v/>
      </c>
      <c r="M58" s="23">
        <f>IF(M41&gt;0, M57/M41, 0)</f>
        <v/>
      </c>
      <c r="N58" s="23">
        <f>IF(N41&gt;0, N57/N41, 0)</f>
        <v/>
      </c>
      <c r="O58" s="4" t="inlineStr">
        <is>
          <t>EBITDA / Kas Masuk Bruto</t>
        </is>
      </c>
    </row>
    <row r="59">
      <c r="A59" s="7" t="inlineStr">
        <is>
          <t>Estimasi PPh Final PP 55/2022 (WPOP Bebas s.d. Rp 500M) [S]</t>
        </is>
      </c>
      <c r="B59" s="22">
        <f>MAX(0, MIN(B41, SUM($B$41:B41) - 500000000)) * 0.005</f>
        <v/>
      </c>
      <c r="C59" s="22">
        <f>MAX(0, MIN(C41, SUM($B$41:C41) - 500000000)) * 0.005</f>
        <v/>
      </c>
      <c r="D59" s="22">
        <f>MAX(0, MIN(D41, SUM($B$41:D41) - 500000000)) * 0.005</f>
        <v/>
      </c>
      <c r="E59" s="22">
        <f>MAX(0, MIN(E41, SUM($B$41:E41) - 500000000)) * 0.005</f>
        <v/>
      </c>
      <c r="F59" s="22">
        <f>MAX(0, MIN(F41, SUM($B$41:F41) - 500000000)) * 0.005</f>
        <v/>
      </c>
      <c r="G59" s="22">
        <f>MAX(0, MIN(G41, SUM($B$41:G41) - 500000000)) * 0.005</f>
        <v/>
      </c>
      <c r="H59" s="22">
        <f>MAX(0, MIN(H41, SUM($B$41:H41) - 500000000)) * 0.005</f>
        <v/>
      </c>
      <c r="I59" s="22">
        <f>MAX(0, MIN(I41, SUM($B$41:I41) - 500000000)) * 0.005</f>
        <v/>
      </c>
      <c r="J59" s="22">
        <f>MAX(0, MIN(J41, SUM($B$41:J41) - 500000000)) * 0.005</f>
        <v/>
      </c>
      <c r="K59" s="22">
        <f>MAX(0, MIN(K41, SUM($B$41:K41) - 500000000)) * 0.005</f>
        <v/>
      </c>
      <c r="L59" s="22">
        <f>MAX(0, MIN(L41, SUM($B$41:L41) - 500000000)) * 0.005</f>
        <v/>
      </c>
      <c r="M59" s="22">
        <f>MAX(0, MIN(M41, SUM($B$41:M41) - 500000000)) * 0.005</f>
        <v/>
      </c>
      <c r="N59" s="22">
        <f>SUM(B59:M59)</f>
        <v/>
      </c>
      <c r="O59" s="4" t="inlineStr">
        <is>
          <t>PPh Final 0,5% atas omzet &gt; Rp 500 Juta (Pasal 69)</t>
        </is>
      </c>
    </row>
    <row r="60">
      <c r="A60" s="12" t="inlineStr">
        <is>
          <t>LABA BERSIH KAS SETELAH PAJAK [A]</t>
        </is>
      </c>
      <c r="B60" s="14">
        <f>B57-B59</f>
        <v/>
      </c>
      <c r="C60" s="14">
        <f>C57-C59</f>
        <v/>
      </c>
      <c r="D60" s="14">
        <f>D57-D59</f>
        <v/>
      </c>
      <c r="E60" s="14">
        <f>E57-E59</f>
        <v/>
      </c>
      <c r="F60" s="14">
        <f>F57-F59</f>
        <v/>
      </c>
      <c r="G60" s="14">
        <f>G57-G59</f>
        <v/>
      </c>
      <c r="H60" s="14">
        <f>H57-H59</f>
        <v/>
      </c>
      <c r="I60" s="14">
        <f>I57-I59</f>
        <v/>
      </c>
      <c r="J60" s="14">
        <f>J57-J59</f>
        <v/>
      </c>
      <c r="K60" s="14">
        <f>K57-K59</f>
        <v/>
      </c>
      <c r="L60" s="14">
        <f>L57-L59</f>
        <v/>
      </c>
      <c r="M60" s="14">
        <f>M57-M59</f>
        <v/>
      </c>
      <c r="N60" s="14">
        <f>SUM(B60:M60)</f>
        <v/>
      </c>
      <c r="O60" s="12" t="inlineStr">
        <is>
          <t>EBITDA dikurangi kewajiban pajak</t>
        </is>
      </c>
    </row>
    <row r="61">
      <c r="A61" s="6" t="inlineStr">
        <is>
          <t>Margin Kas Bersih Setelah Pajak (%) [A]</t>
        </is>
      </c>
      <c r="B61" s="23">
        <f>IF(B41&gt;0, B60/B41, 0)</f>
        <v/>
      </c>
      <c r="C61" s="23">
        <f>IF(C41&gt;0, C60/C41, 0)</f>
        <v/>
      </c>
      <c r="D61" s="23">
        <f>IF(D41&gt;0, D60/D41, 0)</f>
        <v/>
      </c>
      <c r="E61" s="23">
        <f>IF(E41&gt;0, E60/E41, 0)</f>
        <v/>
      </c>
      <c r="F61" s="23">
        <f>IF(F41&gt;0, F60/F41, 0)</f>
        <v/>
      </c>
      <c r="G61" s="23">
        <f>IF(G41&gt;0, G60/G41, 0)</f>
        <v/>
      </c>
      <c r="H61" s="23">
        <f>IF(H41&gt;0, H60/H41, 0)</f>
        <v/>
      </c>
      <c r="I61" s="23">
        <f>IF(I41&gt;0, I60/I41, 0)</f>
        <v/>
      </c>
      <c r="J61" s="23">
        <f>IF(J41&gt;0, J60/J41, 0)</f>
        <v/>
      </c>
      <c r="K61" s="23">
        <f>IF(K41&gt;0, K60/K41, 0)</f>
        <v/>
      </c>
      <c r="L61" s="23">
        <f>IF(L41&gt;0, L60/L41, 0)</f>
        <v/>
      </c>
      <c r="M61" s="23">
        <f>IF(M41&gt;0, M60/M41, 0)</f>
        <v/>
      </c>
      <c r="N61" s="23">
        <f>IF(N41&gt;0, N60/N41, 0)</f>
        <v/>
      </c>
      <c r="O61" s="4" t="inlineStr">
        <is>
          <t>Laba Bersih Kas / Kas Masuk Bruto</t>
        </is>
      </c>
    </row>
    <row r="62">
      <c r="A62" s="24" t="inlineStr">
        <is>
          <t>SALDO KAS AKUMULATIF (Ending Cash) [A]</t>
        </is>
      </c>
      <c r="B62" s="25">
        <f>B60</f>
        <v/>
      </c>
      <c r="C62" s="25">
        <f>B62+C60</f>
        <v/>
      </c>
      <c r="D62" s="25">
        <f>C62+D60</f>
        <v/>
      </c>
      <c r="E62" s="25">
        <f>D62+E60</f>
        <v/>
      </c>
      <c r="F62" s="25">
        <f>E62+F60</f>
        <v/>
      </c>
      <c r="G62" s="25">
        <f>F62+G60</f>
        <v/>
      </c>
      <c r="H62" s="25">
        <f>G62+H60</f>
        <v/>
      </c>
      <c r="I62" s="25">
        <f>H62+I60</f>
        <v/>
      </c>
      <c r="J62" s="25">
        <f>I62+J60</f>
        <v/>
      </c>
      <c r="K62" s="25">
        <f>J62+K60</f>
        <v/>
      </c>
      <c r="L62" s="25">
        <f>K62+L60</f>
        <v/>
      </c>
      <c r="M62" s="25">
        <f>L62+M60</f>
        <v/>
      </c>
      <c r="N62" s="25">
        <f>M62</f>
        <v/>
      </c>
      <c r="O62" s="24" t="inlineStr">
        <is>
          <t>Saldo kas mengendap di bank pada akhir bulan</t>
        </is>
      </c>
    </row>
  </sheetData>
  <mergeCells count="8">
    <mergeCell ref="A35:O35"/>
    <mergeCell ref="A26:O26"/>
    <mergeCell ref="A20:O20"/>
    <mergeCell ref="A16:O16"/>
    <mergeCell ref="A42:O42"/>
    <mergeCell ref="A5:O5"/>
    <mergeCell ref="A56:O56"/>
    <mergeCell ref="A48:O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61" customWidth="1" min="2" max="2"/>
    <col width="61" customWidth="1" min="3" max="3"/>
    <col width="61" customWidth="1" min="4" max="4"/>
    <col width="61" customWidth="1" min="5" max="5"/>
    <col width="61" customWidth="1" min="6" max="6"/>
    <col width="61" customWidth="1" min="7" max="7"/>
    <col width="61" customWidth="1" min="8" max="8"/>
    <col width="61" customWidth="1" min="9" max="9"/>
    <col width="61" customWidth="1" min="10" max="10"/>
    <col width="61" customWidth="1" min="11" max="11"/>
    <col width="61" customWidth="1" min="12" max="12"/>
    <col width="61" customWidth="1" min="13" max="13"/>
    <col width="16" customWidth="1" min="14" max="14"/>
    <col width="45" customWidth="1" min="15" max="15"/>
  </cols>
  <sheetData>
    <row r="1">
      <c r="A1" s="1" t="inlineStr">
        <is>
          <t>IHSG STORM — MODEL KEUANGAN 12 BULAN (SKENARIO 4: OPTIMIS)</t>
        </is>
      </c>
    </row>
    <row r="2">
      <c r="A2" s="2" t="inlineStr">
        <is>
          <t>Dinamika Bulanan: One-Time Pass, Perpanjangan Manual, Jalur Upgrade, Akun Comp, OpEx Phase 0 VPS (Drop Supabase) &amp; Kas (v3.1) | Oscar</t>
        </is>
      </c>
    </row>
    <row r="4" ht="25" customHeight="1">
      <c r="A4" s="21" t="inlineStr">
        <is>
          <t>Metrik / Pos Keuangan</t>
        </is>
      </c>
      <c r="B4" s="21" t="inlineStr">
        <is>
          <t>M1 (Nov)</t>
        </is>
      </c>
      <c r="C4" s="21" t="inlineStr">
        <is>
          <t>M2 (Des)</t>
        </is>
      </c>
      <c r="D4" s="21" t="inlineStr">
        <is>
          <t>M3 (Jan)</t>
        </is>
      </c>
      <c r="E4" s="21" t="inlineStr">
        <is>
          <t>M4 (Feb)</t>
        </is>
      </c>
      <c r="F4" s="21" t="inlineStr">
        <is>
          <t>M5 (Mar)</t>
        </is>
      </c>
      <c r="G4" s="21" t="inlineStr">
        <is>
          <t>M6 (Apr)</t>
        </is>
      </c>
      <c r="H4" s="21" t="inlineStr">
        <is>
          <t>M7 (Mei)</t>
        </is>
      </c>
      <c r="I4" s="21" t="inlineStr">
        <is>
          <t>M8 (Jun)</t>
        </is>
      </c>
      <c r="J4" s="21" t="inlineStr">
        <is>
          <t>M9 (Jul)</t>
        </is>
      </c>
      <c r="K4" s="21" t="inlineStr">
        <is>
          <t>M10 (Agu)</t>
        </is>
      </c>
      <c r="L4" s="21" t="inlineStr">
        <is>
          <t>M11 (Sep)</t>
        </is>
      </c>
      <c r="M4" s="21" t="inlineStr">
        <is>
          <t>M12 (Okt)</t>
        </is>
      </c>
      <c r="N4" s="21" t="inlineStr">
        <is>
          <t>Total 12 Bulan</t>
        </is>
      </c>
      <c r="O4" s="21" t="inlineStr">
        <is>
          <t>Keterangan &amp; Formula</t>
        </is>
      </c>
    </row>
    <row r="5" ht="20" customHeight="1">
      <c r="A5" s="3" t="inlineStr">
        <is>
          <t>I. TRAFIK &amp; FUNNEL AKUISISI PENGGUNA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  <c r="L5" s="29" t="n"/>
      <c r="M5" s="29" t="n"/>
      <c r="N5" s="29" t="n"/>
      <c r="O5" s="30" t="n"/>
    </row>
    <row r="6">
      <c r="A6" s="7" t="inlineStr">
        <is>
          <t>Pengunjung Unik Bulanan [A]</t>
        </is>
      </c>
      <c r="B6" s="22" t="n">
        <v>6000</v>
      </c>
      <c r="C6" s="22" t="n">
        <v>12000</v>
      </c>
      <c r="D6" s="22" t="n">
        <v>20000</v>
      </c>
      <c r="E6" s="22" t="n">
        <v>31000</v>
      </c>
      <c r="F6" s="22" t="n">
        <v>45000</v>
      </c>
      <c r="G6" s="22" t="n">
        <v>61000</v>
      </c>
      <c r="H6" s="22" t="n">
        <v>77000</v>
      </c>
      <c r="I6" s="22" t="n">
        <v>92000</v>
      </c>
      <c r="J6" s="22" t="n">
        <v>105000</v>
      </c>
      <c r="K6" s="22" t="n">
        <v>115000</v>
      </c>
      <c r="L6" s="22" t="n">
        <v>123000</v>
      </c>
      <c r="M6" s="22" t="n">
        <v>130000</v>
      </c>
      <c r="N6" s="22">
        <f>SUM(B6:M6)</f>
        <v/>
      </c>
      <c r="O6" s="4" t="inlineStr">
        <is>
          <t>Proyeksi trafik web unik bulanan</t>
        </is>
      </c>
    </row>
    <row r="7">
      <c r="A7" s="7" t="inlineStr">
        <is>
          <t>Rasio Registrasi Akun Gratis (%) [A]</t>
        </is>
      </c>
      <c r="B7" s="23" t="n">
        <v>0.3</v>
      </c>
      <c r="C7" s="23" t="n">
        <v>0.3</v>
      </c>
      <c r="D7" s="23" t="n">
        <v>0.3</v>
      </c>
      <c r="E7" s="23" t="n">
        <v>0.3</v>
      </c>
      <c r="F7" s="23" t="n">
        <v>0.3</v>
      </c>
      <c r="G7" s="23" t="n">
        <v>0.3</v>
      </c>
      <c r="H7" s="23" t="n">
        <v>0.3</v>
      </c>
      <c r="I7" s="23" t="n">
        <v>0.3</v>
      </c>
      <c r="J7" s="23" t="n">
        <v>0.3</v>
      </c>
      <c r="K7" s="23" t="n">
        <v>0.3</v>
      </c>
      <c r="L7" s="23" t="n">
        <v>0.3</v>
      </c>
      <c r="M7" s="23" t="n">
        <v>0.3</v>
      </c>
      <c r="N7" s="23">
        <f>AVERAGE(B7:M7)</f>
        <v/>
      </c>
      <c r="O7" s="4" t="inlineStr">
        <is>
          <t>Persentase pengunjung yang mendaftar gratis</t>
        </is>
      </c>
    </row>
    <row r="8">
      <c r="A8" s="7" t="inlineStr">
        <is>
          <t>Pendaftaran Akun Gratis Baru (MoM) [A]</t>
        </is>
      </c>
      <c r="B8" s="22">
        <f>B6*B7</f>
        <v/>
      </c>
      <c r="C8" s="22">
        <f>C6*C7</f>
        <v/>
      </c>
      <c r="D8" s="22">
        <f>D6*D7</f>
        <v/>
      </c>
      <c r="E8" s="22">
        <f>E6*E7</f>
        <v/>
      </c>
      <c r="F8" s="22">
        <f>F6*F7</f>
        <v/>
      </c>
      <c r="G8" s="22">
        <f>G6*G7</f>
        <v/>
      </c>
      <c r="H8" s="22">
        <f>H6*H7</f>
        <v/>
      </c>
      <c r="I8" s="22">
        <f>I6*I7</f>
        <v/>
      </c>
      <c r="J8" s="22">
        <f>J6*J7</f>
        <v/>
      </c>
      <c r="K8" s="22">
        <f>K6*K7</f>
        <v/>
      </c>
      <c r="L8" s="22">
        <f>L6*L7</f>
        <v/>
      </c>
      <c r="M8" s="22">
        <f>M6*M7</f>
        <v/>
      </c>
      <c r="N8" s="22">
        <f>SUM(B8:M8)</f>
        <v/>
      </c>
      <c r="O8" s="4" t="inlineStr">
        <is>
          <t>Pengguna gratis baru per bulan</t>
        </is>
      </c>
    </row>
    <row r="9">
      <c r="A9" s="7" t="inlineStr">
        <is>
          <t>Akumulasi Pengguna Gratis Terdaftar [A]</t>
        </is>
      </c>
      <c r="B9" s="22">
        <f>B8</f>
        <v/>
      </c>
      <c r="C9" s="22">
        <f>B9+C8</f>
        <v/>
      </c>
      <c r="D9" s="22">
        <f>C9+D8</f>
        <v/>
      </c>
      <c r="E9" s="22">
        <f>D9+E8</f>
        <v/>
      </c>
      <c r="F9" s="22">
        <f>E9+F8</f>
        <v/>
      </c>
      <c r="G9" s="22">
        <f>F9+G8</f>
        <v/>
      </c>
      <c r="H9" s="22">
        <f>G9+H8</f>
        <v/>
      </c>
      <c r="I9" s="22">
        <f>H9+I8</f>
        <v/>
      </c>
      <c r="J9" s="22">
        <f>I9+J8</f>
        <v/>
      </c>
      <c r="K9" s="22">
        <f>J9+K8</f>
        <v/>
      </c>
      <c r="L9" s="22">
        <f>K9+L8</f>
        <v/>
      </c>
      <c r="M9" s="22">
        <f>L9+M8</f>
        <v/>
      </c>
      <c r="N9" s="22">
        <f>M9</f>
        <v/>
      </c>
      <c r="O9" s="4" t="inlineStr">
        <is>
          <t>Total basis akun gratis kumulatif</t>
        </is>
      </c>
    </row>
    <row r="10">
      <c r="A10" s="7" t="inlineStr">
        <is>
          <t>Tingkat Konversi Akun Baru ke Berbayar (%) [A]</t>
        </is>
      </c>
      <c r="B10" s="23" t="n">
        <v>0.025</v>
      </c>
      <c r="C10" s="23" t="n">
        <v>0.025</v>
      </c>
      <c r="D10" s="23" t="n">
        <v>0.025</v>
      </c>
      <c r="E10" s="23" t="n">
        <v>0.025</v>
      </c>
      <c r="F10" s="23" t="n">
        <v>0.025</v>
      </c>
      <c r="G10" s="23" t="n">
        <v>0.025</v>
      </c>
      <c r="H10" s="23" t="n">
        <v>0.025</v>
      </c>
      <c r="I10" s="23" t="n">
        <v>0.025</v>
      </c>
      <c r="J10" s="23" t="n">
        <v>0.025</v>
      </c>
      <c r="K10" s="23" t="n">
        <v>0.025</v>
      </c>
      <c r="L10" s="23" t="n">
        <v>0.025</v>
      </c>
      <c r="M10" s="23" t="n">
        <v>0.025</v>
      </c>
      <c r="N10" s="23">
        <f>AVERAGE(B10:M10)</f>
        <v/>
      </c>
      <c r="O10" s="4" t="inlineStr">
        <is>
          <t>Persentase akun baru yang membeli pass berbayar</t>
        </is>
      </c>
    </row>
    <row r="11">
      <c r="A11" s="6" t="inlineStr">
        <is>
          <t>Pelanggan Pembeli Pass Baru Total (Cohort) [A]</t>
        </is>
      </c>
      <c r="B11" s="8">
        <f>B8*B10</f>
        <v/>
      </c>
      <c r="C11" s="8">
        <f>C8*C10</f>
        <v/>
      </c>
      <c r="D11" s="8">
        <f>D8*D10</f>
        <v/>
      </c>
      <c r="E11" s="8">
        <f>E8*E10</f>
        <v/>
      </c>
      <c r="F11" s="8">
        <f>F8*F10</f>
        <v/>
      </c>
      <c r="G11" s="8">
        <f>G8*G10</f>
        <v/>
      </c>
      <c r="H11" s="8">
        <f>H8*H10</f>
        <v/>
      </c>
      <c r="I11" s="8">
        <f>I8*I10</f>
        <v/>
      </c>
      <c r="J11" s="8">
        <f>J8*J10</f>
        <v/>
      </c>
      <c r="K11" s="8">
        <f>K8*K10</f>
        <v/>
      </c>
      <c r="L11" s="8">
        <f>L8*L10</f>
        <v/>
      </c>
      <c r="M11" s="8">
        <f>M8*M10</f>
        <v/>
      </c>
      <c r="N11" s="8">
        <f>SUM(B11:M11)</f>
        <v/>
      </c>
      <c r="O11" s="6" t="inlineStr">
        <is>
          <t>Total pembeli baru pertama kali</t>
        </is>
      </c>
    </row>
    <row r="12">
      <c r="A12" s="7" t="inlineStr">
        <is>
          <t xml:space="preserve">  • Investor Pass 1-Bulan Baru (Rp 19k) [A]</t>
        </is>
      </c>
      <c r="B12" s="22">
        <f>B11*0.56</f>
        <v/>
      </c>
      <c r="C12" s="22">
        <f>C11*0.56</f>
        <v/>
      </c>
      <c r="D12" s="22">
        <f>D11*0.56</f>
        <v/>
      </c>
      <c r="E12" s="22">
        <f>E11*0.56</f>
        <v/>
      </c>
      <c r="F12" s="22">
        <f>F11*0.56</f>
        <v/>
      </c>
      <c r="G12" s="22">
        <f>G11*0.56</f>
        <v/>
      </c>
      <c r="H12" s="22">
        <f>H11*0.56</f>
        <v/>
      </c>
      <c r="I12" s="22">
        <f>I11*0.56</f>
        <v/>
      </c>
      <c r="J12" s="22">
        <f>J11*0.56</f>
        <v/>
      </c>
      <c r="K12" s="22">
        <f>K11*0.56</f>
        <v/>
      </c>
      <c r="L12" s="22">
        <f>L11*0.56</f>
        <v/>
      </c>
      <c r="M12" s="22">
        <f>M11*0.56</f>
        <v/>
      </c>
      <c r="N12" s="22">
        <f>SUM(B12:M12)</f>
        <v/>
      </c>
      <c r="O12" s="4" t="inlineStr">
        <is>
          <t>56% dari pembeli baru memilih Investor 1M</t>
        </is>
      </c>
    </row>
    <row r="13">
      <c r="A13" s="7" t="inlineStr">
        <is>
          <t xml:space="preserve">  • Investor Pass 12-Bulan Baru (Rp 190k) [A]</t>
        </is>
      </c>
      <c r="B13" s="22">
        <f>B11*0.14</f>
        <v/>
      </c>
      <c r="C13" s="22">
        <f>C11*0.14</f>
        <v/>
      </c>
      <c r="D13" s="22">
        <f>D11*0.14</f>
        <v/>
      </c>
      <c r="E13" s="22">
        <f>E11*0.14</f>
        <v/>
      </c>
      <c r="F13" s="22">
        <f>F11*0.14</f>
        <v/>
      </c>
      <c r="G13" s="22">
        <f>G11*0.14</f>
        <v/>
      </c>
      <c r="H13" s="22">
        <f>H11*0.14</f>
        <v/>
      </c>
      <c r="I13" s="22">
        <f>I11*0.14</f>
        <v/>
      </c>
      <c r="J13" s="22">
        <f>J11*0.14</f>
        <v/>
      </c>
      <c r="K13" s="22">
        <f>K11*0.14</f>
        <v/>
      </c>
      <c r="L13" s="22">
        <f>L11*0.14</f>
        <v/>
      </c>
      <c r="M13" s="22">
        <f>M11*0.14</f>
        <v/>
      </c>
      <c r="N13" s="22">
        <f>SUM(B13:M13)</f>
        <v/>
      </c>
      <c r="O13" s="4" t="inlineStr">
        <is>
          <t>14% dari pembeli baru memilih Investor 12M</t>
        </is>
      </c>
    </row>
    <row r="14">
      <c r="A14" s="7" t="inlineStr">
        <is>
          <t xml:space="preserve">  • Pakar Pass 1-Bulan Baru (Rp 49k) [A]</t>
        </is>
      </c>
      <c r="B14" s="22">
        <f>B11*0.24</f>
        <v/>
      </c>
      <c r="C14" s="22">
        <f>C11*0.24</f>
        <v/>
      </c>
      <c r="D14" s="22">
        <f>D11*0.24</f>
        <v/>
      </c>
      <c r="E14" s="22">
        <f>E11*0.24</f>
        <v/>
      </c>
      <c r="F14" s="22">
        <f>F11*0.24</f>
        <v/>
      </c>
      <c r="G14" s="22">
        <f>G11*0.24</f>
        <v/>
      </c>
      <c r="H14" s="22">
        <f>H11*0.24</f>
        <v/>
      </c>
      <c r="I14" s="22">
        <f>I11*0.24</f>
        <v/>
      </c>
      <c r="J14" s="22">
        <f>J11*0.24</f>
        <v/>
      </c>
      <c r="K14" s="22">
        <f>K11*0.24</f>
        <v/>
      </c>
      <c r="L14" s="22">
        <f>L11*0.24</f>
        <v/>
      </c>
      <c r="M14" s="22">
        <f>M11*0.24</f>
        <v/>
      </c>
      <c r="N14" s="22">
        <f>SUM(B14:M14)</f>
        <v/>
      </c>
      <c r="O14" s="4" t="inlineStr">
        <is>
          <t>24% dari pembeli baru memilih Pakar 1M</t>
        </is>
      </c>
    </row>
    <row r="15">
      <c r="A15" s="7" t="inlineStr">
        <is>
          <t xml:space="preserve">  • Pakar Pass 12-Bulan Baru (Rp 490k) [A]</t>
        </is>
      </c>
      <c r="B15" s="22">
        <f>B11*0.06</f>
        <v/>
      </c>
      <c r="C15" s="22">
        <f>C11*0.06</f>
        <v/>
      </c>
      <c r="D15" s="22">
        <f>D11*0.06</f>
        <v/>
      </c>
      <c r="E15" s="22">
        <f>E11*0.06</f>
        <v/>
      </c>
      <c r="F15" s="22">
        <f>F11*0.06</f>
        <v/>
      </c>
      <c r="G15" s="22">
        <f>G11*0.06</f>
        <v/>
      </c>
      <c r="H15" s="22">
        <f>H11*0.06</f>
        <v/>
      </c>
      <c r="I15" s="22">
        <f>I11*0.06</f>
        <v/>
      </c>
      <c r="J15" s="22">
        <f>J11*0.06</f>
        <v/>
      </c>
      <c r="K15" s="22">
        <f>K11*0.06</f>
        <v/>
      </c>
      <c r="L15" s="22">
        <f>L11*0.06</f>
        <v/>
      </c>
      <c r="M15" s="22">
        <f>M11*0.06</f>
        <v/>
      </c>
      <c r="N15" s="22">
        <f>SUM(B15:M15)</f>
        <v/>
      </c>
      <c r="O15" s="4" t="inlineStr">
        <is>
          <t>6% dari pembeli baru memilih Pakar 12M</t>
        </is>
      </c>
    </row>
    <row r="16" ht="20" customHeight="1">
      <c r="A16" s="3" t="inlineStr">
        <is>
          <t>II. PEMBELIAN ULANG PASS 1-BULAN (REPEAT PURCHASE / MANUAL RENEWAL) [A]</t>
        </is>
      </c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30" t="n"/>
    </row>
    <row r="17">
      <c r="A17" s="7" t="inlineStr">
        <is>
          <t>Tingkat Pembelian Ulang Manual (%) [A]</t>
        </is>
      </c>
      <c r="B17" s="23" t="n">
        <v>0.55</v>
      </c>
      <c r="C17" s="23" t="n">
        <v>0.55</v>
      </c>
      <c r="D17" s="23" t="n">
        <v>0.55</v>
      </c>
      <c r="E17" s="23" t="n">
        <v>0.55</v>
      </c>
      <c r="F17" s="23" t="n">
        <v>0.55</v>
      </c>
      <c r="G17" s="23" t="n">
        <v>0.55</v>
      </c>
      <c r="H17" s="23" t="n">
        <v>0.55</v>
      </c>
      <c r="I17" s="23" t="n">
        <v>0.55</v>
      </c>
      <c r="J17" s="23" t="n">
        <v>0.55</v>
      </c>
      <c r="K17" s="23" t="n">
        <v>0.55</v>
      </c>
      <c r="L17" s="23" t="n">
        <v>0.55</v>
      </c>
      <c r="M17" s="23" t="n">
        <v>0.55</v>
      </c>
      <c r="N17" s="23">
        <f>AVERAGE(B17:M17)</f>
        <v/>
      </c>
      <c r="O17" s="4" t="inlineStr">
        <is>
          <t>Persentase pembeli 1M yang manual beli lagi saat habis</t>
        </is>
      </c>
    </row>
    <row r="18">
      <c r="A18" s="7" t="inlineStr">
        <is>
          <t>Pembelian Ulang Investor Pass 1-Bulan [A]</t>
        </is>
      </c>
      <c r="B18" s="22" t="n">
        <v>0</v>
      </c>
      <c r="C18" s="22">
        <f>B27*C17</f>
        <v/>
      </c>
      <c r="D18" s="22">
        <f>C27*D17</f>
        <v/>
      </c>
      <c r="E18" s="22">
        <f>D27*E17</f>
        <v/>
      </c>
      <c r="F18" s="22">
        <f>E27*F17</f>
        <v/>
      </c>
      <c r="G18" s="22">
        <f>F27*G17</f>
        <v/>
      </c>
      <c r="H18" s="22">
        <f>G27*H17</f>
        <v/>
      </c>
      <c r="I18" s="22">
        <f>H27*I17</f>
        <v/>
      </c>
      <c r="J18" s="22">
        <f>I27*J17</f>
        <v/>
      </c>
      <c r="K18" s="22">
        <f>J27*K17</f>
        <v/>
      </c>
      <c r="L18" s="22">
        <f>K27*L17</f>
        <v/>
      </c>
      <c r="M18" s="22">
        <f>L27*M17</f>
        <v/>
      </c>
      <c r="N18" s="22">
        <f>SUM(B18:M18)</f>
        <v/>
      </c>
      <c r="O18" s="4" t="inlineStr">
        <is>
          <t>Pembeli Investor 1M bulan lalu yang beli pass baru</t>
        </is>
      </c>
    </row>
    <row r="19">
      <c r="A19" s="7" t="inlineStr">
        <is>
          <t>Pembelian Ulang Pakar Pass 1-Bulan [A]</t>
        </is>
      </c>
      <c r="B19" s="22" t="n">
        <v>0</v>
      </c>
      <c r="C19" s="22">
        <f>B29*C17</f>
        <v/>
      </c>
      <c r="D19" s="22">
        <f>C29*D17</f>
        <v/>
      </c>
      <c r="E19" s="22">
        <f>D29*E17</f>
        <v/>
      </c>
      <c r="F19" s="22">
        <f>E29*F17</f>
        <v/>
      </c>
      <c r="G19" s="22">
        <f>F29*G17</f>
        <v/>
      </c>
      <c r="H19" s="22">
        <f>G29*H17</f>
        <v/>
      </c>
      <c r="I19" s="22">
        <f>H29*I17</f>
        <v/>
      </c>
      <c r="J19" s="22">
        <f>I29*J17</f>
        <v/>
      </c>
      <c r="K19" s="22">
        <f>J29*K17</f>
        <v/>
      </c>
      <c r="L19" s="22">
        <f>K29*L17</f>
        <v/>
      </c>
      <c r="M19" s="22">
        <f>L29*M17</f>
        <v/>
      </c>
      <c r="N19" s="22">
        <f>SUM(B19:M19)</f>
        <v/>
      </c>
      <c r="O19" s="4" t="inlineStr">
        <is>
          <t>Pembeli Pakar 1M bulan lalu yang beli pass baru</t>
        </is>
      </c>
    </row>
    <row r="20" ht="20" customHeight="1">
      <c r="A20" s="3" t="inlineStr">
        <is>
          <t>III. JALUR UPGRADE TIER (INVESTOR -&gt; PAKAR) [S/A]</t>
        </is>
      </c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30" t="n"/>
    </row>
    <row r="21">
      <c r="A21" s="7" t="inlineStr">
        <is>
          <t>Tingkat Konversi Upgrade Investor ke Pakar (%) [A]</t>
        </is>
      </c>
      <c r="B21" s="23" t="n">
        <v>0.1</v>
      </c>
      <c r="C21" s="23" t="n">
        <v>0.1</v>
      </c>
      <c r="D21" s="23" t="n">
        <v>0.1</v>
      </c>
      <c r="E21" s="23" t="n">
        <v>0.1</v>
      </c>
      <c r="F21" s="23" t="n">
        <v>0.1</v>
      </c>
      <c r="G21" s="23" t="n">
        <v>0.1</v>
      </c>
      <c r="H21" s="23" t="n">
        <v>0.1</v>
      </c>
      <c r="I21" s="23" t="n">
        <v>0.1</v>
      </c>
      <c r="J21" s="23" t="n">
        <v>0.1</v>
      </c>
      <c r="K21" s="23" t="n">
        <v>0.1</v>
      </c>
      <c r="L21" s="23" t="n">
        <v>0.1</v>
      </c>
      <c r="M21" s="23" t="n">
        <v>0.1</v>
      </c>
      <c r="N21" s="23">
        <f>AVERAGE(B21:M21)</f>
        <v/>
      </c>
      <c r="O21" s="4" t="inlineStr">
        <is>
          <t>Persentase pemegang Investor yang upgrade ke Pakar</t>
        </is>
      </c>
    </row>
    <row r="22">
      <c r="A22" s="7" t="inlineStr">
        <is>
          <t>Jumlah Akun Investor 1M yang Upgrade [A]</t>
        </is>
      </c>
      <c r="B22" s="22">
        <f>(B12+B18)*B21</f>
        <v/>
      </c>
      <c r="C22" s="22">
        <f>(C12+C18)*C21</f>
        <v/>
      </c>
      <c r="D22" s="22">
        <f>(D12+D18)*D21</f>
        <v/>
      </c>
      <c r="E22" s="22">
        <f>(E12+E18)*E21</f>
        <v/>
      </c>
      <c r="F22" s="22">
        <f>(F12+F18)*F21</f>
        <v/>
      </c>
      <c r="G22" s="22">
        <f>(G12+G18)*G21</f>
        <v/>
      </c>
      <c r="H22" s="22">
        <f>(H12+H18)*H21</f>
        <v/>
      </c>
      <c r="I22" s="22">
        <f>(I12+I18)*I21</f>
        <v/>
      </c>
      <c r="J22" s="22">
        <f>(J12+J18)*J21</f>
        <v/>
      </c>
      <c r="K22" s="22">
        <f>(K12+K18)*K21</f>
        <v/>
      </c>
      <c r="L22" s="22">
        <f>(L12+L18)*L21</f>
        <v/>
      </c>
      <c r="M22" s="22">
        <f>(M12+M18)*M21</f>
        <v/>
      </c>
      <c r="N22" s="22">
        <f>SUM(B22:M22)</f>
        <v/>
      </c>
      <c r="O22" s="4" t="inlineStr">
        <is>
          <t>Akun Investor 1M yang bayar selisih Rp 30k ke Pakar</t>
        </is>
      </c>
    </row>
    <row r="23">
      <c r="A23" s="7" t="inlineStr">
        <is>
          <t>Pendapatan Kas Upgrade 1-Bulan (Rp 30k) [S]</t>
        </is>
      </c>
      <c r="B23" s="22">
        <f>B22*Model_Parameters!$B$16</f>
        <v/>
      </c>
      <c r="C23" s="22">
        <f>C22*Model_Parameters!$B$16</f>
        <v/>
      </c>
      <c r="D23" s="22">
        <f>D22*Model_Parameters!$B$16</f>
        <v/>
      </c>
      <c r="E23" s="22">
        <f>E22*Model_Parameters!$B$16</f>
        <v/>
      </c>
      <c r="F23" s="22">
        <f>F22*Model_Parameters!$B$16</f>
        <v/>
      </c>
      <c r="G23" s="22">
        <f>G22*Model_Parameters!$B$16</f>
        <v/>
      </c>
      <c r="H23" s="22">
        <f>H22*Model_Parameters!$B$16</f>
        <v/>
      </c>
      <c r="I23" s="22">
        <f>I22*Model_Parameters!$B$16</f>
        <v/>
      </c>
      <c r="J23" s="22">
        <f>J22*Model_Parameters!$B$16</f>
        <v/>
      </c>
      <c r="K23" s="22">
        <f>K22*Model_Parameters!$B$16</f>
        <v/>
      </c>
      <c r="L23" s="22">
        <f>L22*Model_Parameters!$B$16</f>
        <v/>
      </c>
      <c r="M23" s="22">
        <f>M22*Model_Parameters!$B$16</f>
        <v/>
      </c>
      <c r="N23" s="22">
        <f>SUM(B23:M23)</f>
        <v/>
      </c>
      <c r="O23" s="4" t="inlineStr">
        <is>
          <t>Kas masuk upgrade bulanan: Akun x Rp 30.000</t>
        </is>
      </c>
    </row>
    <row r="24">
      <c r="A24" s="7" t="inlineStr">
        <is>
          <t>Pendapatan Kas Upgrade 12-Bulan (Prorata Rp 225k) [A]</t>
        </is>
      </c>
      <c r="B24" s="22">
        <f>(B13*(B21*0.5))*Model_Parameters!$B$17</f>
        <v/>
      </c>
      <c r="C24" s="22">
        <f>(C13*(C21*0.5))*Model_Parameters!$B$17</f>
        <v/>
      </c>
      <c r="D24" s="22">
        <f>(D13*(D21*0.5))*Model_Parameters!$B$17</f>
        <v/>
      </c>
      <c r="E24" s="22">
        <f>(E13*(E21*0.5))*Model_Parameters!$B$17</f>
        <v/>
      </c>
      <c r="F24" s="22">
        <f>(F13*(F21*0.5))*Model_Parameters!$B$17</f>
        <v/>
      </c>
      <c r="G24" s="22">
        <f>(G13*(G21*0.5))*Model_Parameters!$B$17</f>
        <v/>
      </c>
      <c r="H24" s="22">
        <f>(H13*(H21*0.5))*Model_Parameters!$B$17</f>
        <v/>
      </c>
      <c r="I24" s="22">
        <f>(I13*(I21*0.5))*Model_Parameters!$B$17</f>
        <v/>
      </c>
      <c r="J24" s="22">
        <f>(J13*(J21*0.5))*Model_Parameters!$B$17</f>
        <v/>
      </c>
      <c r="K24" s="22">
        <f>(K13*(K21*0.5))*Model_Parameters!$B$17</f>
        <v/>
      </c>
      <c r="L24" s="22">
        <f>(L13*(L21*0.5))*Model_Parameters!$B$17</f>
        <v/>
      </c>
      <c r="M24" s="22">
        <f>(M13*(M21*0.5))*Model_Parameters!$B$17</f>
        <v/>
      </c>
      <c r="N24" s="22">
        <f>SUM(B24:M24)</f>
        <v/>
      </c>
      <c r="O24" s="4" t="inlineStr">
        <is>
          <t>Kas masuk upgrade tahunan: Prorata sisa bulan</t>
        </is>
      </c>
    </row>
    <row r="25">
      <c r="A25" s="6" t="inlineStr">
        <is>
          <t>TOTAL KAS MASUK DARI UPGRADE TIER [A]</t>
        </is>
      </c>
      <c r="B25" s="8">
        <f>B23+B24</f>
        <v/>
      </c>
      <c r="C25" s="8">
        <f>C23+C24</f>
        <v/>
      </c>
      <c r="D25" s="8">
        <f>D23+D24</f>
        <v/>
      </c>
      <c r="E25" s="8">
        <f>E23+E24</f>
        <v/>
      </c>
      <c r="F25" s="8">
        <f>F23+F24</f>
        <v/>
      </c>
      <c r="G25" s="8">
        <f>G23+G24</f>
        <v/>
      </c>
      <c r="H25" s="8">
        <f>H23+H24</f>
        <v/>
      </c>
      <c r="I25" s="8">
        <f>I23+I24</f>
        <v/>
      </c>
      <c r="J25" s="8">
        <f>J23+J24</f>
        <v/>
      </c>
      <c r="K25" s="8">
        <f>K23+K24</f>
        <v/>
      </c>
      <c r="L25" s="8">
        <f>L23+L24</f>
        <v/>
      </c>
      <c r="M25" s="8">
        <f>M23+M24</f>
        <v/>
      </c>
      <c r="N25" s="8">
        <f>SUM(B25:M25)</f>
        <v/>
      </c>
      <c r="O25" s="6" t="inlineStr">
        <is>
          <t>Total penerimaan kas dari seluruh transaksi upgrade</t>
        </is>
      </c>
    </row>
    <row r="26" ht="20" customHeight="1">
      <c r="A26" s="3" t="inlineStr">
        <is>
          <t>IV. DINAMIKA PENGGUNA AKTIF BERBAYAR KAS &amp; AKUN PROMOSI (COMP) [S/A]</t>
        </is>
      </c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30" t="n"/>
    </row>
    <row r="27">
      <c r="A27" s="7" t="inlineStr">
        <is>
          <t>Pengguna Aktif Investor Pass 1-Bulan [A]</t>
        </is>
      </c>
      <c r="B27" s="22">
        <f>(B12+B18)-B22</f>
        <v/>
      </c>
      <c r="C27" s="22">
        <f>(C12+C18)-C22</f>
        <v/>
      </c>
      <c r="D27" s="22">
        <f>(D12+D18)-D22</f>
        <v/>
      </c>
      <c r="E27" s="22">
        <f>(E12+E18)-E22</f>
        <v/>
      </c>
      <c r="F27" s="22">
        <f>(F12+F18)-F22</f>
        <v/>
      </c>
      <c r="G27" s="22">
        <f>(G12+G18)-G22</f>
        <v/>
      </c>
      <c r="H27" s="22">
        <f>(H12+H18)-H22</f>
        <v/>
      </c>
      <c r="I27" s="22">
        <f>(I12+I18)-I22</f>
        <v/>
      </c>
      <c r="J27" s="22">
        <f>(J12+J18)-J22</f>
        <v/>
      </c>
      <c r="K27" s="22">
        <f>(K12+K18)-K22</f>
        <v/>
      </c>
      <c r="L27" s="22">
        <f>(L12+L18)-L22</f>
        <v/>
      </c>
      <c r="M27" s="22">
        <f>(M12+M18)-M22</f>
        <v/>
      </c>
      <c r="N27" s="22">
        <f>M27</f>
        <v/>
      </c>
      <c r="O27" s="4" t="inlineStr">
        <is>
          <t>Investor 1M aktif (dikurangi yang pindah ke Pakar)</t>
        </is>
      </c>
    </row>
    <row r="28">
      <c r="A28" s="7" t="inlineStr">
        <is>
          <t>Pengguna Aktif Investor Pass 12-Bulan (Kumulatif 365 Hari) [A]</t>
        </is>
      </c>
      <c r="B28" s="22">
        <f>B13</f>
        <v/>
      </c>
      <c r="C28" s="22">
        <f>B28+C13</f>
        <v/>
      </c>
      <c r="D28" s="22">
        <f>C28+D13</f>
        <v/>
      </c>
      <c r="E28" s="22">
        <f>D28+E13</f>
        <v/>
      </c>
      <c r="F28" s="22">
        <f>E28+F13</f>
        <v/>
      </c>
      <c r="G28" s="22">
        <f>F28+G13</f>
        <v/>
      </c>
      <c r="H28" s="22">
        <f>G28+H13</f>
        <v/>
      </c>
      <c r="I28" s="22">
        <f>H28+I13</f>
        <v/>
      </c>
      <c r="J28" s="22">
        <f>I28+J13</f>
        <v/>
      </c>
      <c r="K28" s="22">
        <f>J28+K13</f>
        <v/>
      </c>
      <c r="L28" s="22">
        <f>K28+L13</f>
        <v/>
      </c>
      <c r="M28" s="22">
        <f>L28+M13</f>
        <v/>
      </c>
      <c r="N28" s="22">
        <f>M28</f>
        <v/>
      </c>
      <c r="O28" s="4" t="inlineStr">
        <is>
          <t>Investor 12M aktif (tidak ada churn di Tahun ke-1)</t>
        </is>
      </c>
    </row>
    <row r="29">
      <c r="A29" s="7" t="inlineStr">
        <is>
          <t>Pengguna Aktif Pakar Pass 1-Bulan [A]</t>
        </is>
      </c>
      <c r="B29" s="22">
        <f>(B14+B19)+B22</f>
        <v/>
      </c>
      <c r="C29" s="22">
        <f>(C14+C19)+C22</f>
        <v/>
      </c>
      <c r="D29" s="22">
        <f>(D14+D19)+D22</f>
        <v/>
      </c>
      <c r="E29" s="22">
        <f>(E14+E19)+E22</f>
        <v/>
      </c>
      <c r="F29" s="22">
        <f>(F14+F19)+F22</f>
        <v/>
      </c>
      <c r="G29" s="22">
        <f>(G14+G19)+G22</f>
        <v/>
      </c>
      <c r="H29" s="22">
        <f>(H14+H19)+H22</f>
        <v/>
      </c>
      <c r="I29" s="22">
        <f>(I14+I19)+I22</f>
        <v/>
      </c>
      <c r="J29" s="22">
        <f>(J14+J19)+J22</f>
        <v/>
      </c>
      <c r="K29" s="22">
        <f>(K14+K19)+K22</f>
        <v/>
      </c>
      <c r="L29" s="22">
        <f>(L14+L19)+L22</f>
        <v/>
      </c>
      <c r="M29" s="22">
        <f>(M14+M19)+M22</f>
        <v/>
      </c>
      <c r="N29" s="22">
        <f>M29</f>
        <v/>
      </c>
      <c r="O29" s="4" t="inlineStr">
        <is>
          <t>Pakar 1M aktif (termasuk limpahan upgrade)</t>
        </is>
      </c>
    </row>
    <row r="30">
      <c r="A30" s="7" t="inlineStr">
        <is>
          <t>Pengguna Aktif Pakar Pass 12-Bulan (Kumulatif 365 Hari) [A]</t>
        </is>
      </c>
      <c r="B30" s="22">
        <f>B15</f>
        <v/>
      </c>
      <c r="C30" s="22">
        <f>B30+C15</f>
        <v/>
      </c>
      <c r="D30" s="22">
        <f>C30+D15</f>
        <v/>
      </c>
      <c r="E30" s="22">
        <f>D30+E15</f>
        <v/>
      </c>
      <c r="F30" s="22">
        <f>E30+F15</f>
        <v/>
      </c>
      <c r="G30" s="22">
        <f>F30+G15</f>
        <v/>
      </c>
      <c r="H30" s="22">
        <f>G30+H15</f>
        <v/>
      </c>
      <c r="I30" s="22">
        <f>H30+I15</f>
        <v/>
      </c>
      <c r="J30" s="22">
        <f>I30+J15</f>
        <v/>
      </c>
      <c r="K30" s="22">
        <f>J30+K15</f>
        <v/>
      </c>
      <c r="L30" s="22">
        <f>K30+L15</f>
        <v/>
      </c>
      <c r="M30" s="22">
        <f>L30+M15</f>
        <v/>
      </c>
      <c r="N30" s="22">
        <f>M30</f>
        <v/>
      </c>
      <c r="O30" s="4" t="inlineStr">
        <is>
          <t>Pakar 12M aktif (tidak ada churn di Tahun ke-1)</t>
        </is>
      </c>
    </row>
    <row r="31">
      <c r="A31" s="6" t="inlineStr">
        <is>
          <t>TOTAL PENGGUNA AKTIF BERBAYAR KAS [A]</t>
        </is>
      </c>
      <c r="B31" s="8">
        <f>SUM(B27:B30)</f>
        <v/>
      </c>
      <c r="C31" s="8">
        <f>SUM(C27:C30)</f>
        <v/>
      </c>
      <c r="D31" s="8">
        <f>SUM(D27:D30)</f>
        <v/>
      </c>
      <c r="E31" s="8">
        <f>SUM(E27:E30)</f>
        <v/>
      </c>
      <c r="F31" s="8">
        <f>SUM(F27:F30)</f>
        <v/>
      </c>
      <c r="G31" s="8">
        <f>SUM(G27:G30)</f>
        <v/>
      </c>
      <c r="H31" s="8">
        <f>SUM(H27:H30)</f>
        <v/>
      </c>
      <c r="I31" s="8">
        <f>SUM(I27:I30)</f>
        <v/>
      </c>
      <c r="J31" s="8">
        <f>SUM(J27:J30)</f>
        <v/>
      </c>
      <c r="K31" s="8">
        <f>SUM(K27:K30)</f>
        <v/>
      </c>
      <c r="L31" s="8">
        <f>SUM(L27:L30)</f>
        <v/>
      </c>
      <c r="M31" s="8">
        <f>SUM(M27:M30)</f>
        <v/>
      </c>
      <c r="N31" s="8">
        <f>M31</f>
        <v/>
      </c>
      <c r="O31" s="6" t="inlineStr">
        <is>
          <t>Pengguna berbayar riil yang memiliki pass aktif</t>
        </is>
      </c>
    </row>
    <row r="32">
      <c r="A32" s="7" t="inlineStr">
        <is>
          <t>Marketing Comp Accounts (Pakar Gratis) [S]</t>
        </is>
      </c>
      <c r="B32" s="22">
        <f>Model_Parameters!$B$23</f>
        <v/>
      </c>
      <c r="C32" s="22">
        <f>Model_Parameters!$B$23</f>
        <v/>
      </c>
      <c r="D32" s="22">
        <f>Model_Parameters!$B$23</f>
        <v/>
      </c>
      <c r="E32" s="22">
        <f>Model_Parameters!$B$23</f>
        <v/>
      </c>
      <c r="F32" s="22">
        <f>Model_Parameters!$B$23</f>
        <v/>
      </c>
      <c r="G32" s="22">
        <f>Model_Parameters!$B$23</f>
        <v/>
      </c>
      <c r="H32" s="22">
        <f>Model_Parameters!$B$23</f>
        <v/>
      </c>
      <c r="I32" s="22">
        <f>Model_Parameters!$B$23</f>
        <v/>
      </c>
      <c r="J32" s="22">
        <f>Model_Parameters!$B$23</f>
        <v/>
      </c>
      <c r="K32" s="22">
        <f>Model_Parameters!$B$23</f>
        <v/>
      </c>
      <c r="L32" s="22">
        <f>Model_Parameters!$B$23</f>
        <v/>
      </c>
      <c r="M32" s="22">
        <f>Model_Parameters!$B$23</f>
        <v/>
      </c>
      <c r="N32" s="22">
        <f>M32</f>
        <v/>
      </c>
      <c r="O32" s="4" t="inlineStr">
        <is>
          <t>5 akun Pakar promosi gratis (Influencer/Komunitas)</t>
        </is>
      </c>
    </row>
    <row r="33">
      <c r="A33" s="6" t="inlineStr">
        <is>
          <t>TOTAL AKUN AKTIF MENIKMATI AKSES [A]</t>
        </is>
      </c>
      <c r="B33" s="8">
        <f>B31+B32</f>
        <v/>
      </c>
      <c r="C33" s="8">
        <f>C31+C32</f>
        <v/>
      </c>
      <c r="D33" s="8">
        <f>D31+D32</f>
        <v/>
      </c>
      <c r="E33" s="8">
        <f>E31+E32</f>
        <v/>
      </c>
      <c r="F33" s="8">
        <f>F31+F32</f>
        <v/>
      </c>
      <c r="G33" s="8">
        <f>G31+G32</f>
        <v/>
      </c>
      <c r="H33" s="8">
        <f>H31+H32</f>
        <v/>
      </c>
      <c r="I33" s="8">
        <f>I31+I32</f>
        <v/>
      </c>
      <c r="J33" s="8">
        <f>J31+J32</f>
        <v/>
      </c>
      <c r="K33" s="8">
        <f>K31+K32</f>
        <v/>
      </c>
      <c r="L33" s="8">
        <f>L31+L32</f>
        <v/>
      </c>
      <c r="M33" s="8">
        <f>M31+M32</f>
        <v/>
      </c>
      <c r="N33" s="8">
        <f>M33</f>
        <v/>
      </c>
      <c r="O33" s="6" t="inlineStr">
        <is>
          <t>Total akun aktif (Berbayar riil + 5 Akun Comp)</t>
        </is>
      </c>
    </row>
    <row r="34">
      <c r="A34" s="24" t="inlineStr">
        <is>
          <t>Pemicu Migrasi VPS Fase 0 (&lt;5 Paying Users) [S]</t>
        </is>
      </c>
      <c r="B34" s="25">
        <f>B31</f>
        <v/>
      </c>
      <c r="C34" s="25">
        <f>C31</f>
        <v/>
      </c>
      <c r="D34" s="25">
        <f>D31</f>
        <v/>
      </c>
      <c r="E34" s="25">
        <f>E31</f>
        <v/>
      </c>
      <c r="F34" s="25">
        <f>F31</f>
        <v/>
      </c>
      <c r="G34" s="25">
        <f>G31</f>
        <v/>
      </c>
      <c r="H34" s="25">
        <f>H31</f>
        <v/>
      </c>
      <c r="I34" s="25">
        <f>I31</f>
        <v/>
      </c>
      <c r="J34" s="25">
        <f>J31</f>
        <v/>
      </c>
      <c r="K34" s="25">
        <f>K31</f>
        <v/>
      </c>
      <c r="L34" s="25">
        <f>L31</f>
        <v/>
      </c>
      <c r="M34" s="25">
        <f>M31</f>
        <v/>
      </c>
      <c r="N34" s="25">
        <f>M34</f>
        <v/>
      </c>
      <c r="O34" s="24" t="inlineStr">
        <is>
          <t>AUDIT: Comp Accounts TIDAK DIHITUNG! Hanya kas &gt; Rp 0</t>
        </is>
      </c>
    </row>
    <row r="35" ht="20" customHeight="1">
      <c r="A35" s="3" t="inlineStr">
        <is>
          <t>V. PENERIMAAN KAS BRUTO (IDR) [S/A]</t>
        </is>
      </c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30" t="n"/>
    </row>
    <row r="36">
      <c r="A36" s="7" t="inlineStr">
        <is>
          <t>Penerimaan Investor Pass 1-Bulan (Rp 19k) [S]</t>
        </is>
      </c>
      <c r="B36" s="22">
        <f>(B12+B18)*Model_Parameters!$B$7</f>
        <v/>
      </c>
      <c r="C36" s="22">
        <f>(C12+C18)*Model_Parameters!$B$7</f>
        <v/>
      </c>
      <c r="D36" s="22">
        <f>(D12+D18)*Model_Parameters!$B$7</f>
        <v/>
      </c>
      <c r="E36" s="22">
        <f>(E12+E18)*Model_Parameters!$B$7</f>
        <v/>
      </c>
      <c r="F36" s="22">
        <f>(F12+F18)*Model_Parameters!$B$7</f>
        <v/>
      </c>
      <c r="G36" s="22">
        <f>(G12+G18)*Model_Parameters!$B$7</f>
        <v/>
      </c>
      <c r="H36" s="22">
        <f>(H12+H18)*Model_Parameters!$B$7</f>
        <v/>
      </c>
      <c r="I36" s="22">
        <f>(I12+I18)*Model_Parameters!$B$7</f>
        <v/>
      </c>
      <c r="J36" s="22">
        <f>(J12+J18)*Model_Parameters!$B$7</f>
        <v/>
      </c>
      <c r="K36" s="22">
        <f>(K12+K18)*Model_Parameters!$B$7</f>
        <v/>
      </c>
      <c r="L36" s="22">
        <f>(L12+L18)*Model_Parameters!$B$7</f>
        <v/>
      </c>
      <c r="M36" s="22">
        <f>(M12+M18)*Model_Parameters!$B$7</f>
        <v/>
      </c>
      <c r="N36" s="22">
        <f>SUM(B36:M36)</f>
        <v/>
      </c>
      <c r="O36" s="4" t="inlineStr">
        <is>
          <t>Penjualan baru + perpanjangan manual Investor 1M</t>
        </is>
      </c>
    </row>
    <row r="37">
      <c r="A37" s="7" t="inlineStr">
        <is>
          <t>Penerimaan Investor Pass 12-Bulan (Rp 190k) [S]</t>
        </is>
      </c>
      <c r="B37" s="22">
        <f>B13*Model_Parameters!$B$8</f>
        <v/>
      </c>
      <c r="C37" s="22">
        <f>C13*Model_Parameters!$B$8</f>
        <v/>
      </c>
      <c r="D37" s="22">
        <f>D13*Model_Parameters!$B$8</f>
        <v/>
      </c>
      <c r="E37" s="22">
        <f>E13*Model_Parameters!$B$8</f>
        <v/>
      </c>
      <c r="F37" s="22">
        <f>F13*Model_Parameters!$B$8</f>
        <v/>
      </c>
      <c r="G37" s="22">
        <f>G13*Model_Parameters!$B$8</f>
        <v/>
      </c>
      <c r="H37" s="22">
        <f>H13*Model_Parameters!$B$8</f>
        <v/>
      </c>
      <c r="I37" s="22">
        <f>I13*Model_Parameters!$B$8</f>
        <v/>
      </c>
      <c r="J37" s="22">
        <f>J13*Model_Parameters!$B$8</f>
        <v/>
      </c>
      <c r="K37" s="22">
        <f>K13*Model_Parameters!$B$8</f>
        <v/>
      </c>
      <c r="L37" s="22">
        <f>L13*Model_Parameters!$B$8</f>
        <v/>
      </c>
      <c r="M37" s="22">
        <f>M13*Model_Parameters!$B$8</f>
        <v/>
      </c>
      <c r="N37" s="22">
        <f>SUM(B37:M37)</f>
        <v/>
      </c>
      <c r="O37" s="4" t="inlineStr">
        <is>
          <t>Penjualan Investor 12M di muka</t>
        </is>
      </c>
    </row>
    <row r="38">
      <c r="A38" s="7" t="inlineStr">
        <is>
          <t>Penerimaan Pakar Pass 1-Bulan (Rp 49k) [S]</t>
        </is>
      </c>
      <c r="B38" s="22">
        <f>(B14+B19)*Model_Parameters!$B$9</f>
        <v/>
      </c>
      <c r="C38" s="22">
        <f>(C14+C19)*Model_Parameters!$B$9</f>
        <v/>
      </c>
      <c r="D38" s="22">
        <f>(D14+D19)*Model_Parameters!$B$9</f>
        <v/>
      </c>
      <c r="E38" s="22">
        <f>(E14+E19)*Model_Parameters!$B$9</f>
        <v/>
      </c>
      <c r="F38" s="22">
        <f>(F14+F19)*Model_Parameters!$B$9</f>
        <v/>
      </c>
      <c r="G38" s="22">
        <f>(G14+G19)*Model_Parameters!$B$9</f>
        <v/>
      </c>
      <c r="H38" s="22">
        <f>(H14+H19)*Model_Parameters!$B$9</f>
        <v/>
      </c>
      <c r="I38" s="22">
        <f>(I14+I19)*Model_Parameters!$B$9</f>
        <v/>
      </c>
      <c r="J38" s="22">
        <f>(J14+J19)*Model_Parameters!$B$9</f>
        <v/>
      </c>
      <c r="K38" s="22">
        <f>(K14+K19)*Model_Parameters!$B$9</f>
        <v/>
      </c>
      <c r="L38" s="22">
        <f>(L14+L19)*Model_Parameters!$B$9</f>
        <v/>
      </c>
      <c r="M38" s="22">
        <f>(M14+M19)*Model_Parameters!$B$9</f>
        <v/>
      </c>
      <c r="N38" s="22">
        <f>SUM(B38:M38)</f>
        <v/>
      </c>
      <c r="O38" s="4" t="inlineStr">
        <is>
          <t>Penjualan baru + perpanjangan manual Pakar 1M</t>
        </is>
      </c>
    </row>
    <row r="39">
      <c r="A39" s="7" t="inlineStr">
        <is>
          <t>Penerimaan Pakar Pass 12-Bulan (Rp 490k) [S]</t>
        </is>
      </c>
      <c r="B39" s="22">
        <f>B15*Model_Parameters!$B$10</f>
        <v/>
      </c>
      <c r="C39" s="22">
        <f>C15*Model_Parameters!$B$10</f>
        <v/>
      </c>
      <c r="D39" s="22">
        <f>D15*Model_Parameters!$B$10</f>
        <v/>
      </c>
      <c r="E39" s="22">
        <f>E15*Model_Parameters!$B$10</f>
        <v/>
      </c>
      <c r="F39" s="22">
        <f>F15*Model_Parameters!$B$10</f>
        <v/>
      </c>
      <c r="G39" s="22">
        <f>G15*Model_Parameters!$B$10</f>
        <v/>
      </c>
      <c r="H39" s="22">
        <f>H15*Model_Parameters!$B$10</f>
        <v/>
      </c>
      <c r="I39" s="22">
        <f>I15*Model_Parameters!$B$10</f>
        <v/>
      </c>
      <c r="J39" s="22">
        <f>J15*Model_Parameters!$B$10</f>
        <v/>
      </c>
      <c r="K39" s="22">
        <f>K15*Model_Parameters!$B$10</f>
        <v/>
      </c>
      <c r="L39" s="22">
        <f>L15*Model_Parameters!$B$10</f>
        <v/>
      </c>
      <c r="M39" s="22">
        <f>M15*Model_Parameters!$B$10</f>
        <v/>
      </c>
      <c r="N39" s="22">
        <f>SUM(B39:M39)</f>
        <v/>
      </c>
      <c r="O39" s="4" t="inlineStr">
        <is>
          <t>Penjualan Pakar 12M di muka</t>
        </is>
      </c>
    </row>
    <row r="40">
      <c r="A40" s="7" t="inlineStr">
        <is>
          <t>Penerimaan Upgrade Tier Investor -&gt; Pakar [A]</t>
        </is>
      </c>
      <c r="B40" s="22">
        <f>B25</f>
        <v/>
      </c>
      <c r="C40" s="22">
        <f>C25</f>
        <v/>
      </c>
      <c r="D40" s="22">
        <f>D25</f>
        <v/>
      </c>
      <c r="E40" s="22">
        <f>E25</f>
        <v/>
      </c>
      <c r="F40" s="22">
        <f>F25</f>
        <v/>
      </c>
      <c r="G40" s="22">
        <f>G25</f>
        <v/>
      </c>
      <c r="H40" s="22">
        <f>H25</f>
        <v/>
      </c>
      <c r="I40" s="22">
        <f>I25</f>
        <v/>
      </c>
      <c r="J40" s="22">
        <f>J25</f>
        <v/>
      </c>
      <c r="K40" s="22">
        <f>K25</f>
        <v/>
      </c>
      <c r="L40" s="22">
        <f>L25</f>
        <v/>
      </c>
      <c r="M40" s="22">
        <f>M25</f>
        <v/>
      </c>
      <c r="N40" s="22">
        <f>SUM(B40:M40)</f>
        <v/>
      </c>
      <c r="O40" s="4" t="inlineStr">
        <is>
          <t>Kas masuk tambahan dari upgrade tier</t>
        </is>
      </c>
    </row>
    <row r="41">
      <c r="A41" s="12" t="inlineStr">
        <is>
          <t>TOTAL PENERIMAAN KAS BRUTO [A]</t>
        </is>
      </c>
      <c r="B41" s="14">
        <f>SUM(B36:B40)</f>
        <v/>
      </c>
      <c r="C41" s="14">
        <f>SUM(C36:C40)</f>
        <v/>
      </c>
      <c r="D41" s="14">
        <f>SUM(D36:D40)</f>
        <v/>
      </c>
      <c r="E41" s="14">
        <f>SUM(E36:E40)</f>
        <v/>
      </c>
      <c r="F41" s="14">
        <f>SUM(F36:F40)</f>
        <v/>
      </c>
      <c r="G41" s="14">
        <f>SUM(G36:G40)</f>
        <v/>
      </c>
      <c r="H41" s="14">
        <f>SUM(H36:H40)</f>
        <v/>
      </c>
      <c r="I41" s="14">
        <f>SUM(I36:I40)</f>
        <v/>
      </c>
      <c r="J41" s="14">
        <f>SUM(J36:J40)</f>
        <v/>
      </c>
      <c r="K41" s="14">
        <f>SUM(K36:K40)</f>
        <v/>
      </c>
      <c r="L41" s="14">
        <f>SUM(L36:L40)</f>
        <v/>
      </c>
      <c r="M41" s="14">
        <f>SUM(M36:M40)</f>
        <v/>
      </c>
      <c r="N41" s="14">
        <f>SUM(B41:M41)</f>
        <v/>
      </c>
      <c r="O41" s="12" t="inlineStr">
        <is>
          <t>Total kas masuk kotor ke payment gateway</t>
        </is>
      </c>
    </row>
    <row r="42" ht="20" customHeight="1">
      <c r="A42" s="3" t="inlineStr">
        <is>
          <t>VI. BIAYA VARIABEL &amp; PAYMENT GATEWAY (IDR) [S/A]</t>
        </is>
      </c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30" t="n"/>
    </row>
    <row r="43">
      <c r="A43" s="7" t="inlineStr">
        <is>
          <t>Biaya Payment Gateway (QRIS-First ~1,8%) [S]</t>
        </is>
      </c>
      <c r="B43" s="22">
        <f>(B12+B18)*504+B13*2111+(B14+B19)*786+B15*4931+B40*0.015</f>
        <v/>
      </c>
      <c r="C43" s="22">
        <f>(C12+C18)*504+C13*2111+(C14+C19)*786+C15*4931+C40*0.015</f>
        <v/>
      </c>
      <c r="D43" s="22">
        <f>(D12+D18)*504+D13*2111+(D14+D19)*786+D15*4931+D40*0.015</f>
        <v/>
      </c>
      <c r="E43" s="22">
        <f>(E12+E18)*504+E13*2111+(E14+E19)*786+E15*4931+E40*0.015</f>
        <v/>
      </c>
      <c r="F43" s="22">
        <f>(F12+F18)*504+F13*2111+(F14+F19)*786+F15*4931+F40*0.015</f>
        <v/>
      </c>
      <c r="G43" s="22">
        <f>(G12+G18)*504+G13*2111+(G14+G19)*786+G15*4931+G40*0.015</f>
        <v/>
      </c>
      <c r="H43" s="22">
        <f>(H12+H18)*504+H13*2111+(H14+H19)*786+H15*4931+H40*0.015</f>
        <v/>
      </c>
      <c r="I43" s="22">
        <f>(I12+I18)*504+I13*2111+(I14+I19)*786+I15*4931+I40*0.015</f>
        <v/>
      </c>
      <c r="J43" s="22">
        <f>(J12+J18)*504+J13*2111+(J14+J19)*786+J15*4931+J40*0.015</f>
        <v/>
      </c>
      <c r="K43" s="22">
        <f>(K12+K18)*504+K13*2111+(K14+K19)*786+K15*4931+K40*0.015</f>
        <v/>
      </c>
      <c r="L43" s="22">
        <f>(L12+L18)*504+L13*2111+(L14+L19)*786+L15*4931+L40*0.015</f>
        <v/>
      </c>
      <c r="M43" s="22">
        <f>(M12+M18)*504+M13*2111+(M14+M19)*786+M15*4931+M40*0.015</f>
        <v/>
      </c>
      <c r="N43" s="22">
        <f>SUM(B43:M43)</f>
        <v/>
      </c>
      <c r="O43" s="4" t="inlineStr">
        <is>
          <t>Potongan MDR Xendit (QRIS 0,7%, EW 1,8%)</t>
        </is>
      </c>
    </row>
    <row r="44">
      <c r="A44" s="7" t="inlineStr">
        <is>
          <t>Cadangan Pengembalian / Refunds (1,0%) [A]</t>
        </is>
      </c>
      <c r="B44" s="22">
        <f>B41*Model_Parameters!$B$50</f>
        <v/>
      </c>
      <c r="C44" s="22">
        <f>C41*Model_Parameters!$B$50</f>
        <v/>
      </c>
      <c r="D44" s="22">
        <f>D41*Model_Parameters!$B$50</f>
        <v/>
      </c>
      <c r="E44" s="22">
        <f>E41*Model_Parameters!$B$50</f>
        <v/>
      </c>
      <c r="F44" s="22">
        <f>F41*Model_Parameters!$B$50</f>
        <v/>
      </c>
      <c r="G44" s="22">
        <f>G41*Model_Parameters!$B$50</f>
        <v/>
      </c>
      <c r="H44" s="22">
        <f>H41*Model_Parameters!$B$50</f>
        <v/>
      </c>
      <c r="I44" s="22">
        <f>I41*Model_Parameters!$B$50</f>
        <v/>
      </c>
      <c r="J44" s="22">
        <f>J41*Model_Parameters!$B$50</f>
        <v/>
      </c>
      <c r="K44" s="22">
        <f>K41*Model_Parameters!$B$50</f>
        <v/>
      </c>
      <c r="L44" s="22">
        <f>L41*Model_Parameters!$B$50</f>
        <v/>
      </c>
      <c r="M44" s="22">
        <f>M41*Model_Parameters!$B$50</f>
        <v/>
      </c>
      <c r="N44" s="22">
        <f>SUM(B44:M44)</f>
        <v/>
      </c>
      <c r="O44" s="4" t="inlineStr">
        <is>
          <t>Cadangan risiko sengketa/transaksi dobel (1%)</t>
        </is>
      </c>
    </row>
    <row r="45">
      <c r="A45" s="7" t="inlineStr">
        <is>
          <t>Biaya Settlement Gateway (4x @ Rp 5k) [S]</t>
        </is>
      </c>
      <c r="B45" s="22">
        <f>Model_Parameters!$B$51*4</f>
        <v/>
      </c>
      <c r="C45" s="22">
        <f>Model_Parameters!$B$51*4</f>
        <v/>
      </c>
      <c r="D45" s="22">
        <f>Model_Parameters!$B$51*4</f>
        <v/>
      </c>
      <c r="E45" s="22">
        <f>Model_Parameters!$B$51*4</f>
        <v/>
      </c>
      <c r="F45" s="22">
        <f>Model_Parameters!$B$51*4</f>
        <v/>
      </c>
      <c r="G45" s="22">
        <f>Model_Parameters!$B$51*4</f>
        <v/>
      </c>
      <c r="H45" s="22">
        <f>Model_Parameters!$B$51*4</f>
        <v/>
      </c>
      <c r="I45" s="22">
        <f>Model_Parameters!$B$51*4</f>
        <v/>
      </c>
      <c r="J45" s="22">
        <f>Model_Parameters!$B$51*4</f>
        <v/>
      </c>
      <c r="K45" s="22">
        <f>Model_Parameters!$B$51*4</f>
        <v/>
      </c>
      <c r="L45" s="22">
        <f>Model_Parameters!$B$51*4</f>
        <v/>
      </c>
      <c r="M45" s="22">
        <f>Model_Parameters!$B$51*4</f>
        <v/>
      </c>
      <c r="N45" s="22">
        <f>SUM(B45:M45)</f>
        <v/>
      </c>
      <c r="O45" s="4" t="inlineStr">
        <is>
          <t>Tarif tarik dana mingguan ke rekening bank</t>
        </is>
      </c>
    </row>
    <row r="46">
      <c r="A46" s="6" t="inlineStr">
        <is>
          <t>TOTAL BIAYA VARIABEL [A]</t>
        </is>
      </c>
      <c r="B46" s="8">
        <f>SUM(B43:B45)</f>
        <v/>
      </c>
      <c r="C46" s="8">
        <f>SUM(C43:C45)</f>
        <v/>
      </c>
      <c r="D46" s="8">
        <f>SUM(D43:D45)</f>
        <v/>
      </c>
      <c r="E46" s="8">
        <f>SUM(E43:E45)</f>
        <v/>
      </c>
      <c r="F46" s="8">
        <f>SUM(F43:F45)</f>
        <v/>
      </c>
      <c r="G46" s="8">
        <f>SUM(G43:G45)</f>
        <v/>
      </c>
      <c r="H46" s="8">
        <f>SUM(H43:H45)</f>
        <v/>
      </c>
      <c r="I46" s="8">
        <f>SUM(I43:I45)</f>
        <v/>
      </c>
      <c r="J46" s="8">
        <f>SUM(J43:J45)</f>
        <v/>
      </c>
      <c r="K46" s="8">
        <f>SUM(K43:K45)</f>
        <v/>
      </c>
      <c r="L46" s="8">
        <f>SUM(L43:L45)</f>
        <v/>
      </c>
      <c r="M46" s="8">
        <f>SUM(M43:M45)</f>
        <v/>
      </c>
      <c r="N46" s="8">
        <f>SUM(B46:M46)</f>
        <v/>
      </c>
      <c r="O46" s="6" t="inlineStr">
        <is>
          <t>Total biaya variabel pemrosesan transaksi</t>
        </is>
      </c>
    </row>
    <row r="47">
      <c r="A47" s="12" t="inlineStr">
        <is>
          <t>PENERIMAAN KAS BERSIH (Net Cash Inflow) [A]</t>
        </is>
      </c>
      <c r="B47" s="14">
        <f>B41-B46</f>
        <v/>
      </c>
      <c r="C47" s="14">
        <f>C41-C46</f>
        <v/>
      </c>
      <c r="D47" s="14">
        <f>D41-D46</f>
        <v/>
      </c>
      <c r="E47" s="14">
        <f>E41-E46</f>
        <v/>
      </c>
      <c r="F47" s="14">
        <f>F41-F46</f>
        <v/>
      </c>
      <c r="G47" s="14">
        <f>G41-G46</f>
        <v/>
      </c>
      <c r="H47" s="14">
        <f>H41-H46</f>
        <v/>
      </c>
      <c r="I47" s="14">
        <f>I41-I46</f>
        <v/>
      </c>
      <c r="J47" s="14">
        <f>J41-J46</f>
        <v/>
      </c>
      <c r="K47" s="14">
        <f>K41-K46</f>
        <v/>
      </c>
      <c r="L47" s="14">
        <f>L41-L46</f>
        <v/>
      </c>
      <c r="M47" s="14">
        <f>M41-M46</f>
        <v/>
      </c>
      <c r="N47" s="14">
        <f>SUM(B47:M47)</f>
        <v/>
      </c>
      <c r="O47" s="12" t="inlineStr">
        <is>
          <t>Kas bersih setelah potongan gateway &amp; refund</t>
        </is>
      </c>
    </row>
    <row r="48" ht="20" customHeight="1">
      <c r="A48" s="3" t="inlineStr">
        <is>
          <t>VII. BEBAN OPERASIONAL TETAP (OPEX - IDR) [PHASE 0 VPS + AI SQUAD] [S/A]</t>
        </is>
      </c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30" t="n"/>
    </row>
    <row r="49">
      <c r="A49" s="7" t="inlineStr">
        <is>
          <t>Infrastruktur Hosting &amp; VPS (Phase 0 vs Vercel Pro) [S]</t>
        </is>
      </c>
      <c r="B49" s="22">
        <f>IF(B34&lt;5, Model_Parameters!$B$39, Model_Parameters!$C$39)</f>
        <v/>
      </c>
      <c r="C49" s="22">
        <f>IF(C34&lt;5, Model_Parameters!$B$39, Model_Parameters!$C$39)</f>
        <v/>
      </c>
      <c r="D49" s="22">
        <f>IF(D34&lt;5, Model_Parameters!$B$39, Model_Parameters!$C$39)</f>
        <v/>
      </c>
      <c r="E49" s="22">
        <f>IF(E34&lt;5, Model_Parameters!$B$39, Model_Parameters!$C$39)</f>
        <v/>
      </c>
      <c r="F49" s="22">
        <f>IF(F34&lt;5, Model_Parameters!$B$39, Model_Parameters!$C$39)</f>
        <v/>
      </c>
      <c r="G49" s="22">
        <f>IF(G34&lt;5, Model_Parameters!$B$39, Model_Parameters!$C$39)</f>
        <v/>
      </c>
      <c r="H49" s="22">
        <f>IF(H34&lt;5, Model_Parameters!$B$39, Model_Parameters!$C$39)</f>
        <v/>
      </c>
      <c r="I49" s="22">
        <f>IF(I34&lt;5, Model_Parameters!$B$39, Model_Parameters!$C$39)</f>
        <v/>
      </c>
      <c r="J49" s="22">
        <f>IF(J34&lt;5, Model_Parameters!$B$39, Model_Parameters!$C$39)</f>
        <v/>
      </c>
      <c r="K49" s="22">
        <f>IF(K34&lt;5, Model_Parameters!$B$39, Model_Parameters!$C$39)</f>
        <v/>
      </c>
      <c r="L49" s="22">
        <f>IF(L34&lt;5, Model_Parameters!$B$39, Model_Parameters!$C$39)</f>
        <v/>
      </c>
      <c r="M49" s="22">
        <f>IF(M34&lt;5, Model_Parameters!$B$39, Model_Parameters!$C$39)</f>
        <v/>
      </c>
      <c r="N49" s="22">
        <f>SUM(B49:M49)</f>
        <v/>
      </c>
      <c r="O49" s="4" t="inlineStr">
        <is>
          <t>Fase 0 VPS Rp 70k saat paying &lt; 5; Vercel Pro Rp 390k saat &gt;= 5</t>
        </is>
      </c>
    </row>
    <row r="50">
      <c r="A50" s="7" t="inlineStr">
        <is>
          <t>Biaya Operasional AI Agent Squad (Claude USD 20 @ Rp 16k) [S]</t>
        </is>
      </c>
      <c r="B50" s="22">
        <f>Model_Parameters!$B$40</f>
        <v/>
      </c>
      <c r="C50" s="22">
        <f>Model_Parameters!$B$40</f>
        <v/>
      </c>
      <c r="D50" s="22">
        <f>Model_Parameters!$B$40</f>
        <v/>
      </c>
      <c r="E50" s="22">
        <f>Model_Parameters!$B$40</f>
        <v/>
      </c>
      <c r="F50" s="22">
        <f>Model_Parameters!$B$40</f>
        <v/>
      </c>
      <c r="G50" s="22">
        <f>Model_Parameters!$B$40</f>
        <v/>
      </c>
      <c r="H50" s="22">
        <f>Model_Parameters!$B$40</f>
        <v/>
      </c>
      <c r="I50" s="22">
        <f>Model_Parameters!$B$40</f>
        <v/>
      </c>
      <c r="J50" s="22">
        <f>Model_Parameters!$B$40</f>
        <v/>
      </c>
      <c r="K50" s="22">
        <f>Model_Parameters!$B$40</f>
        <v/>
      </c>
      <c r="L50" s="22">
        <f>Model_Parameters!$B$40</f>
        <v/>
      </c>
      <c r="M50" s="22">
        <f>Model_Parameters!$B$40</f>
        <v/>
      </c>
      <c r="N50" s="22">
        <f>SUM(B50:M50)</f>
        <v/>
      </c>
      <c r="O50" s="4" t="inlineStr">
        <is>
          <t>Biaya flat langganan Claude squad 11 agen via gateway</t>
        </is>
      </c>
    </row>
    <row r="51">
      <c r="A51" s="7" t="inlineStr">
        <is>
          <t>Feed Data Pasar Resmi (EODHD $20 mulai M4) [S]</t>
        </is>
      </c>
      <c r="B51" s="22">
        <f>IF(OR(1&gt;=4, B31&gt;=50), Model_Parameters!$D$41, 0)</f>
        <v/>
      </c>
      <c r="C51" s="22">
        <f>IF(OR(2&gt;=4, C31&gt;=50), Model_Parameters!$D$41, 0)</f>
        <v/>
      </c>
      <c r="D51" s="22">
        <f>IF(OR(3&gt;=4, D31&gt;=50), Model_Parameters!$D$41, 0)</f>
        <v/>
      </c>
      <c r="E51" s="22">
        <f>IF(OR(4&gt;=4, E31&gt;=50), Model_Parameters!$D$41, 0)</f>
        <v/>
      </c>
      <c r="F51" s="22">
        <f>IF(OR(5&gt;=4, F31&gt;=50), Model_Parameters!$D$41, 0)</f>
        <v/>
      </c>
      <c r="G51" s="22">
        <f>IF(OR(6&gt;=4, G31&gt;=50), Model_Parameters!$D$41, 0)</f>
        <v/>
      </c>
      <c r="H51" s="22">
        <f>IF(OR(7&gt;=4, H31&gt;=50), Model_Parameters!$D$41, 0)</f>
        <v/>
      </c>
      <c r="I51" s="22">
        <f>IF(OR(8&gt;=4, I31&gt;=50), Model_Parameters!$D$41, 0)</f>
        <v/>
      </c>
      <c r="J51" s="22">
        <f>IF(OR(9&gt;=4, J31&gt;=50), Model_Parameters!$D$41, 0)</f>
        <v/>
      </c>
      <c r="K51" s="22">
        <f>IF(OR(10&gt;=4, K31&gt;=50), Model_Parameters!$D$41, 0)</f>
        <v/>
      </c>
      <c r="L51" s="22">
        <f>IF(OR(11&gt;=4, L31&gt;=50), Model_Parameters!$D$41, 0)</f>
        <v/>
      </c>
      <c r="M51" s="22">
        <f>IF(OR(12&gt;=4, M31&gt;=50), Model_Parameters!$D$41, 0)</f>
        <v/>
      </c>
      <c r="N51" s="22">
        <f>SUM(B51:M51)</f>
        <v/>
      </c>
      <c r="O51" s="4" t="inlineStr">
        <is>
          <t>Feed resmi EODHD komersial saat aktif &gt;= 50 subs</t>
        </is>
      </c>
    </row>
    <row r="52">
      <c r="A52" s="7" t="inlineStr">
        <is>
          <t>Database &amp; Autentikasi (SQLite + Litestream Fase 0 / Neon PG) [S]</t>
        </is>
      </c>
      <c r="B52" s="22">
        <f>IF(OR(1&gt;=7, B31&gt;=500), Model_Parameters!$E$42, 0)</f>
        <v/>
      </c>
      <c r="C52" s="22">
        <f>IF(OR(2&gt;=7, C31&gt;=500), Model_Parameters!$E$42, 0)</f>
        <v/>
      </c>
      <c r="D52" s="22">
        <f>IF(OR(3&gt;=7, D31&gt;=500), Model_Parameters!$E$42, 0)</f>
        <v/>
      </c>
      <c r="E52" s="22">
        <f>IF(OR(4&gt;=7, E31&gt;=500), Model_Parameters!$E$42, 0)</f>
        <v/>
      </c>
      <c r="F52" s="22">
        <f>IF(OR(5&gt;=7, F31&gt;=500), Model_Parameters!$E$42, 0)</f>
        <v/>
      </c>
      <c r="G52" s="22">
        <f>IF(OR(6&gt;=7, G31&gt;=500), Model_Parameters!$E$42, 0)</f>
        <v/>
      </c>
      <c r="H52" s="22">
        <f>IF(OR(7&gt;=7, H31&gt;=500), Model_Parameters!$E$42, 0)</f>
        <v/>
      </c>
      <c r="I52" s="22">
        <f>IF(OR(8&gt;=7, I31&gt;=500), Model_Parameters!$E$42, 0)</f>
        <v/>
      </c>
      <c r="J52" s="22">
        <f>IF(OR(9&gt;=7, J31&gt;=500), Model_Parameters!$E$42, 0)</f>
        <v/>
      </c>
      <c r="K52" s="22">
        <f>IF(OR(10&gt;=7, K31&gt;=500), Model_Parameters!$E$42, 0)</f>
        <v/>
      </c>
      <c r="L52" s="22">
        <f>IF(OR(11&gt;=7, L31&gt;=500), Model_Parameters!$E$42, 0)</f>
        <v/>
      </c>
      <c r="M52" s="22">
        <f>IF(OR(12&gt;=7, M31&gt;=500), Model_Parameters!$E$42, 0)</f>
        <v/>
      </c>
      <c r="N52" s="22">
        <f>SUM(B52:M52)</f>
        <v/>
      </c>
      <c r="O52" s="4" t="inlineStr">
        <is>
          <t>SQLite+Litestream di VPS (Rp 0); Supabase Pro didrop per Jim D3</t>
        </is>
      </c>
    </row>
    <row r="53">
      <c r="A53" s="7" t="inlineStr">
        <is>
          <t>Alokasi Pemasaran &amp; Edukasi Komunitas [A]</t>
        </is>
      </c>
      <c r="B53" s="22" t="n">
        <v>500000</v>
      </c>
      <c r="C53" s="22" t="n">
        <v>500000</v>
      </c>
      <c r="D53" s="22" t="n">
        <v>500000</v>
      </c>
      <c r="E53" s="22" t="n">
        <v>1000000</v>
      </c>
      <c r="F53" s="22" t="n">
        <v>1000000</v>
      </c>
      <c r="G53" s="22" t="n">
        <v>1000000</v>
      </c>
      <c r="H53" s="22" t="n">
        <v>1500000</v>
      </c>
      <c r="I53" s="22" t="n">
        <v>1500000</v>
      </c>
      <c r="J53" s="22" t="n">
        <v>1500000</v>
      </c>
      <c r="K53" s="22" t="n">
        <v>1500000</v>
      </c>
      <c r="L53" s="22" t="n">
        <v>1500000</v>
      </c>
      <c r="M53" s="22" t="n">
        <v>1500000</v>
      </c>
      <c r="N53" s="22">
        <f>SUM(B53:M53)</f>
        <v/>
      </c>
      <c r="O53" s="4" t="inlineStr">
        <is>
          <t>Anggaran seeding konten, infografis &amp; kemitraan</t>
        </is>
      </c>
    </row>
    <row r="54">
      <c r="A54" s="7" t="inlineStr">
        <is>
          <t>Biaya Jasa Kepatuhan Pajak / Akuntan (Asumsi) [A]</t>
        </is>
      </c>
      <c r="B54" s="22" t="n">
        <v>0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2" t="n">
        <v>0</v>
      </c>
      <c r="M54" s="22" t="n">
        <v>0</v>
      </c>
      <c r="N54" s="22">
        <f>SUM(B54:M54)</f>
        <v/>
      </c>
      <c r="O54" s="4" t="inlineStr">
        <is>
          <t>Lapor mandiri WPOP (Rp 0 di awal)</t>
        </is>
      </c>
    </row>
    <row r="55">
      <c r="A55" s="12" t="inlineStr">
        <is>
          <t>TOTAL BEBAN OPERASIONAL TETAP (OPEX) [A]</t>
        </is>
      </c>
      <c r="B55" s="14">
        <f>SUM(B49:B54)</f>
        <v/>
      </c>
      <c r="C55" s="14">
        <f>SUM(C49:C54)</f>
        <v/>
      </c>
      <c r="D55" s="14">
        <f>SUM(D49:D54)</f>
        <v/>
      </c>
      <c r="E55" s="14">
        <f>SUM(E49:E54)</f>
        <v/>
      </c>
      <c r="F55" s="14">
        <f>SUM(F49:F54)</f>
        <v/>
      </c>
      <c r="G55" s="14">
        <f>SUM(G49:G54)</f>
        <v/>
      </c>
      <c r="H55" s="14">
        <f>SUM(H49:H54)</f>
        <v/>
      </c>
      <c r="I55" s="14">
        <f>SUM(I49:I54)</f>
        <v/>
      </c>
      <c r="J55" s="14">
        <f>SUM(J49:J54)</f>
        <v/>
      </c>
      <c r="K55" s="14">
        <f>SUM(K49:K54)</f>
        <v/>
      </c>
      <c r="L55" s="14">
        <f>SUM(L49:L54)</f>
        <v/>
      </c>
      <c r="M55" s="14">
        <f>SUM(M49:M54)</f>
        <v/>
      </c>
      <c r="N55" s="14">
        <f>SUM(B55:M55)</f>
        <v/>
      </c>
      <c r="O55" s="12" t="inlineStr">
        <is>
          <t>Total beban kas operasional wajib bulanan</t>
        </is>
      </c>
    </row>
    <row r="56" ht="20" customHeight="1">
      <c r="A56" s="3" t="inlineStr">
        <is>
          <t>VIII. PROFITABILITAS OPERASIONAL, PAJAK &amp; SALDO KAS AKUMULATIF (IDR) [S/A]</t>
        </is>
      </c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30" t="n"/>
    </row>
    <row r="57">
      <c r="A57" s="12" t="inlineStr">
        <is>
          <t>LABA OPERASIONAL KAS (EBITDA) [A]</t>
        </is>
      </c>
      <c r="B57" s="14">
        <f>B47-B55</f>
        <v/>
      </c>
      <c r="C57" s="14">
        <f>C47-C55</f>
        <v/>
      </c>
      <c r="D57" s="14">
        <f>D47-D55</f>
        <v/>
      </c>
      <c r="E57" s="14">
        <f>E47-E55</f>
        <v/>
      </c>
      <c r="F57" s="14">
        <f>F47-F55</f>
        <v/>
      </c>
      <c r="G57" s="14">
        <f>G47-G55</f>
        <v/>
      </c>
      <c r="H57" s="14">
        <f>H47-H55</f>
        <v/>
      </c>
      <c r="I57" s="14">
        <f>I47-I55</f>
        <v/>
      </c>
      <c r="J57" s="14">
        <f>J47-J55</f>
        <v/>
      </c>
      <c r="K57" s="14">
        <f>K47-K55</f>
        <v/>
      </c>
      <c r="L57" s="14">
        <f>L47-L55</f>
        <v/>
      </c>
      <c r="M57" s="14">
        <f>M47-M55</f>
        <v/>
      </c>
      <c r="N57" s="14">
        <f>SUM(B57:M57)</f>
        <v/>
      </c>
      <c r="O57" s="12" t="inlineStr">
        <is>
          <t>Kas Bersih - OpEx Tetap</t>
        </is>
      </c>
    </row>
    <row r="58">
      <c r="A58" s="6" t="inlineStr">
        <is>
          <t>Margin Laba Kas EBITDA (%) [A]</t>
        </is>
      </c>
      <c r="B58" s="23">
        <f>IF(B41&gt;0, B57/B41, 0)</f>
        <v/>
      </c>
      <c r="C58" s="23">
        <f>IF(C41&gt;0, C57/C41, 0)</f>
        <v/>
      </c>
      <c r="D58" s="23">
        <f>IF(D41&gt;0, D57/D41, 0)</f>
        <v/>
      </c>
      <c r="E58" s="23">
        <f>IF(E41&gt;0, E57/E41, 0)</f>
        <v/>
      </c>
      <c r="F58" s="23">
        <f>IF(F41&gt;0, F57/F41, 0)</f>
        <v/>
      </c>
      <c r="G58" s="23">
        <f>IF(G41&gt;0, G57/G41, 0)</f>
        <v/>
      </c>
      <c r="H58" s="23">
        <f>IF(H41&gt;0, H57/H41, 0)</f>
        <v/>
      </c>
      <c r="I58" s="23">
        <f>IF(I41&gt;0, I57/I41, 0)</f>
        <v/>
      </c>
      <c r="J58" s="23">
        <f>IF(J41&gt;0, J57/J41, 0)</f>
        <v/>
      </c>
      <c r="K58" s="23">
        <f>IF(K41&gt;0, K57/K41, 0)</f>
        <v/>
      </c>
      <c r="L58" s="23">
        <f>IF(L41&gt;0, L57/L41, 0)</f>
        <v/>
      </c>
      <c r="M58" s="23">
        <f>IF(M41&gt;0, M57/M41, 0)</f>
        <v/>
      </c>
      <c r="N58" s="23">
        <f>IF(N41&gt;0, N57/N41, 0)</f>
        <v/>
      </c>
      <c r="O58" s="4" t="inlineStr">
        <is>
          <t>EBITDA / Kas Masuk Bruto</t>
        </is>
      </c>
    </row>
    <row r="59">
      <c r="A59" s="7" t="inlineStr">
        <is>
          <t>Estimasi PPh Final PP 55/2022 (WPOP Bebas s.d. Rp 500M) [S]</t>
        </is>
      </c>
      <c r="B59" s="22">
        <f>MAX(0, MIN(B41, SUM($B$41:B41) - 500000000)) * 0.005</f>
        <v/>
      </c>
      <c r="C59" s="22">
        <f>MAX(0, MIN(C41, SUM($B$41:C41) - 500000000)) * 0.005</f>
        <v/>
      </c>
      <c r="D59" s="22">
        <f>MAX(0, MIN(D41, SUM($B$41:D41) - 500000000)) * 0.005</f>
        <v/>
      </c>
      <c r="E59" s="22">
        <f>MAX(0, MIN(E41, SUM($B$41:E41) - 500000000)) * 0.005</f>
        <v/>
      </c>
      <c r="F59" s="22">
        <f>MAX(0, MIN(F41, SUM($B$41:F41) - 500000000)) * 0.005</f>
        <v/>
      </c>
      <c r="G59" s="22">
        <f>MAX(0, MIN(G41, SUM($B$41:G41) - 500000000)) * 0.005</f>
        <v/>
      </c>
      <c r="H59" s="22">
        <f>MAX(0, MIN(H41, SUM($B$41:H41) - 500000000)) * 0.005</f>
        <v/>
      </c>
      <c r="I59" s="22">
        <f>MAX(0, MIN(I41, SUM($B$41:I41) - 500000000)) * 0.005</f>
        <v/>
      </c>
      <c r="J59" s="22">
        <f>MAX(0, MIN(J41, SUM($B$41:J41) - 500000000)) * 0.005</f>
        <v/>
      </c>
      <c r="K59" s="22">
        <f>MAX(0, MIN(K41, SUM($B$41:K41) - 500000000)) * 0.005</f>
        <v/>
      </c>
      <c r="L59" s="22">
        <f>MAX(0, MIN(L41, SUM($B$41:L41) - 500000000)) * 0.005</f>
        <v/>
      </c>
      <c r="M59" s="22">
        <f>MAX(0, MIN(M41, SUM($B$41:M41) - 500000000)) * 0.005</f>
        <v/>
      </c>
      <c r="N59" s="22">
        <f>SUM(B59:M59)</f>
        <v/>
      </c>
      <c r="O59" s="4" t="inlineStr">
        <is>
          <t>PPh Final 0,5% atas omzet &gt; Rp 500 Juta (Pasal 69)</t>
        </is>
      </c>
    </row>
    <row r="60">
      <c r="A60" s="12" t="inlineStr">
        <is>
          <t>LABA BERSIH KAS SETELAH PAJAK [A]</t>
        </is>
      </c>
      <c r="B60" s="14">
        <f>B57-B59</f>
        <v/>
      </c>
      <c r="C60" s="14">
        <f>C57-C59</f>
        <v/>
      </c>
      <c r="D60" s="14">
        <f>D57-D59</f>
        <v/>
      </c>
      <c r="E60" s="14">
        <f>E57-E59</f>
        <v/>
      </c>
      <c r="F60" s="14">
        <f>F57-F59</f>
        <v/>
      </c>
      <c r="G60" s="14">
        <f>G57-G59</f>
        <v/>
      </c>
      <c r="H60" s="14">
        <f>H57-H59</f>
        <v/>
      </c>
      <c r="I60" s="14">
        <f>I57-I59</f>
        <v/>
      </c>
      <c r="J60" s="14">
        <f>J57-J59</f>
        <v/>
      </c>
      <c r="K60" s="14">
        <f>K57-K59</f>
        <v/>
      </c>
      <c r="L60" s="14">
        <f>L57-L59</f>
        <v/>
      </c>
      <c r="M60" s="14">
        <f>M57-M59</f>
        <v/>
      </c>
      <c r="N60" s="14">
        <f>SUM(B60:M60)</f>
        <v/>
      </c>
      <c r="O60" s="12" t="inlineStr">
        <is>
          <t>EBITDA dikurangi kewajiban pajak</t>
        </is>
      </c>
    </row>
    <row r="61">
      <c r="A61" s="6" t="inlineStr">
        <is>
          <t>Margin Kas Bersih Setelah Pajak (%) [A]</t>
        </is>
      </c>
      <c r="B61" s="23">
        <f>IF(B41&gt;0, B60/B41, 0)</f>
        <v/>
      </c>
      <c r="C61" s="23">
        <f>IF(C41&gt;0, C60/C41, 0)</f>
        <v/>
      </c>
      <c r="D61" s="23">
        <f>IF(D41&gt;0, D60/D41, 0)</f>
        <v/>
      </c>
      <c r="E61" s="23">
        <f>IF(E41&gt;0, E60/E41, 0)</f>
        <v/>
      </c>
      <c r="F61" s="23">
        <f>IF(F41&gt;0, F60/F41, 0)</f>
        <v/>
      </c>
      <c r="G61" s="23">
        <f>IF(G41&gt;0, G60/G41, 0)</f>
        <v/>
      </c>
      <c r="H61" s="23">
        <f>IF(H41&gt;0, H60/H41, 0)</f>
        <v/>
      </c>
      <c r="I61" s="23">
        <f>IF(I41&gt;0, I60/I41, 0)</f>
        <v/>
      </c>
      <c r="J61" s="23">
        <f>IF(J41&gt;0, J60/J41, 0)</f>
        <v/>
      </c>
      <c r="K61" s="23">
        <f>IF(K41&gt;0, K60/K41, 0)</f>
        <v/>
      </c>
      <c r="L61" s="23">
        <f>IF(L41&gt;0, L60/L41, 0)</f>
        <v/>
      </c>
      <c r="M61" s="23">
        <f>IF(M41&gt;0, M60/M41, 0)</f>
        <v/>
      </c>
      <c r="N61" s="23">
        <f>IF(N41&gt;0, N60/N41, 0)</f>
        <v/>
      </c>
      <c r="O61" s="4" t="inlineStr">
        <is>
          <t>Laba Bersih Kas / Kas Masuk Bruto</t>
        </is>
      </c>
    </row>
    <row r="62">
      <c r="A62" s="24" t="inlineStr">
        <is>
          <t>SALDO KAS AKUMULATIF (Ending Cash) [A]</t>
        </is>
      </c>
      <c r="B62" s="25">
        <f>B60</f>
        <v/>
      </c>
      <c r="C62" s="25">
        <f>B62+C60</f>
        <v/>
      </c>
      <c r="D62" s="25">
        <f>C62+D60</f>
        <v/>
      </c>
      <c r="E62" s="25">
        <f>D62+E60</f>
        <v/>
      </c>
      <c r="F62" s="25">
        <f>E62+F60</f>
        <v/>
      </c>
      <c r="G62" s="25">
        <f>F62+G60</f>
        <v/>
      </c>
      <c r="H62" s="25">
        <f>G62+H60</f>
        <v/>
      </c>
      <c r="I62" s="25">
        <f>H62+I60</f>
        <v/>
      </c>
      <c r="J62" s="25">
        <f>I62+J60</f>
        <v/>
      </c>
      <c r="K62" s="25">
        <f>J62+K60</f>
        <v/>
      </c>
      <c r="L62" s="25">
        <f>K62+L60</f>
        <v/>
      </c>
      <c r="M62" s="25">
        <f>L62+M60</f>
        <v/>
      </c>
      <c r="N62" s="25">
        <f>M62</f>
        <v/>
      </c>
      <c r="O62" s="24" t="inlineStr">
        <is>
          <t>Saldo kas mengendap di bank pada akhir bulan</t>
        </is>
      </c>
    </row>
  </sheetData>
  <mergeCells count="8">
    <mergeCell ref="A35:O35"/>
    <mergeCell ref="A26:O26"/>
    <mergeCell ref="A20:O20"/>
    <mergeCell ref="A16:O16"/>
    <mergeCell ref="A42:O42"/>
    <mergeCell ref="A5:O5"/>
    <mergeCell ref="A56:O56"/>
    <mergeCell ref="A48:O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 outlineLevelCol="0"/>
  <cols>
    <col width="42" customWidth="1" min="1" max="1"/>
    <col width="44" customWidth="1" min="2" max="2"/>
    <col width="37" customWidth="1" min="3" max="3"/>
    <col width="46" customWidth="1" min="4" max="4"/>
    <col width="27" customWidth="1" min="5" max="5"/>
    <col width="45" customWidth="1" min="6" max="6"/>
    <col width="55" customWidth="1" min="7" max="7"/>
    <col width="64" customWidth="1" min="8" max="8"/>
  </cols>
  <sheetData>
    <row r="1">
      <c r="A1" s="1" t="inlineStr">
        <is>
          <t>IHSG STORM — ANALISIS KOMPARASI SATU KALI BAYAR VS BERULANG (THE ACQUISITION TREADMILL)</t>
        </is>
      </c>
    </row>
    <row r="2">
      <c r="A2" s="2" t="inlineStr">
        <is>
          <t>Dampak Penghapusan Auto-Debit, Kebutuhan Pembeli Baru Bulanan, Kehilangan ARR &amp; Kurva Kas | Oscar</t>
        </is>
      </c>
    </row>
    <row r="4" ht="20" customHeight="1">
      <c r="A4" s="3" t="inlineStr">
        <is>
          <t>1. ANALISIS TREADMILL AKUISISI: JUMLAH PEMBELI BARU YANG DIBUTUHKAN SETIAP BULAN UNTUK MENUTUP BEBAN [S/A]</t>
        </is>
      </c>
      <c r="B4" s="29" t="n"/>
      <c r="C4" s="29" t="n"/>
      <c r="D4" s="29" t="n"/>
      <c r="E4" s="29" t="n"/>
      <c r="F4" s="29" t="n"/>
      <c r="G4" s="29" t="n"/>
      <c r="H4" s="30" t="n"/>
    </row>
    <row r="5" ht="25" customHeight="1">
      <c r="A5" s="21" t="inlineStr">
        <is>
          <t>Fase Tangga Biaya</t>
        </is>
      </c>
      <c r="B5" s="21" t="inlineStr">
        <is>
          <t>Ambang Batas Pengguna</t>
        </is>
      </c>
      <c r="C5" s="21" t="inlineStr">
        <is>
          <t>OpEx Tetap Bulanan [S]</t>
        </is>
      </c>
      <c r="D5" s="21" t="inlineStr">
        <is>
          <t>Investor 1M (Nett Rp 18,3k)</t>
        </is>
      </c>
      <c r="E5" s="21" t="inlineStr">
        <is>
          <t>Pakar 1M (Nett Rp 47,7k)</t>
        </is>
      </c>
      <c r="F5" s="21" t="inlineStr">
        <is>
          <t>Blended Mix 70/30 (Nett Rp 27,1k)</t>
        </is>
      </c>
      <c r="G5" s="21" t="inlineStr">
        <is>
          <t>Kebutuhan di Model Recurring (Auto-Renew Churn 6,5%)</t>
        </is>
      </c>
      <c r="H5" s="21" t="inlineStr">
        <is>
          <t>Evaluasi Beban Treadmill Akuisisi</t>
        </is>
      </c>
    </row>
    <row r="6">
      <c r="A6" s="6" t="inlineStr">
        <is>
          <t>Fase 0 (VPS Phase 0 + AI Claude)</t>
        </is>
      </c>
      <c r="B6" s="7" t="inlineStr">
        <is>
          <t>&lt; 5 Pelanggan Berbayar</t>
        </is>
      </c>
      <c r="C6" s="22" t="n">
        <v>390000</v>
      </c>
      <c r="D6" s="22">
        <f>ROUNDUP(C6/18306, 0)</f>
        <v/>
      </c>
      <c r="E6" s="22">
        <f>ROUNDUP(C6/47724, 0)</f>
        <v/>
      </c>
      <c r="F6" s="26">
        <f>ROUNDUP(C6/27131, 0)</f>
        <v/>
      </c>
      <c r="G6" s="22" t="n">
        <v>2</v>
      </c>
      <c r="H6" s="7" t="inlineStr">
        <is>
          <t>Wajib dapat 15 pembeli baru/bln di One-Time vs 2 di Recurring</t>
        </is>
      </c>
    </row>
    <row r="7">
      <c r="A7" s="6" t="inlineStr">
        <is>
          <t>Fase 1 (Vercel Pro + AI Claude)</t>
        </is>
      </c>
      <c r="B7" s="7" t="inlineStr">
        <is>
          <t>5 - 49 Pelanggan</t>
        </is>
      </c>
      <c r="C7" s="22" t="n">
        <v>710000</v>
      </c>
      <c r="D7" s="22">
        <f>ROUNDUP(C7/18306, 0)</f>
        <v/>
      </c>
      <c r="E7" s="22">
        <f>ROUNDUP(C7/47724, 0)</f>
        <v/>
      </c>
      <c r="F7" s="26">
        <f>ROUNDUP(C7/27131, 0)</f>
        <v/>
      </c>
      <c r="G7" s="22" t="n">
        <v>3</v>
      </c>
      <c r="H7" s="7" t="inlineStr">
        <is>
          <t>Wajib dapat 27 pembeli baru/bln di One-Time vs 3 di Recurring</t>
        </is>
      </c>
    </row>
    <row r="8">
      <c r="A8" s="6" t="inlineStr">
        <is>
          <t>Fase 2 (Vercel + AI + EODHD $20)</t>
        </is>
      </c>
      <c r="B8" s="7" t="inlineStr">
        <is>
          <t>50 - 499 Pelanggan (M4+)</t>
        </is>
      </c>
      <c r="C8" s="22" t="n">
        <v>1030000</v>
      </c>
      <c r="D8" s="22">
        <f>ROUNDUP(C8/18306, 0)</f>
        <v/>
      </c>
      <c r="E8" s="22">
        <f>ROUNDUP(C8/47724, 0)</f>
        <v/>
      </c>
      <c r="F8" s="26">
        <f>ROUNDUP(C8/27131, 0)</f>
        <v/>
      </c>
      <c r="G8" s="22" t="n">
        <v>4</v>
      </c>
      <c r="H8" s="7" t="inlineStr">
        <is>
          <t>Wajib dapat 38 pembeli baru/bln di One-Time vs 4 di Recurring</t>
        </is>
      </c>
    </row>
    <row r="9">
      <c r="A9" s="6" t="inlineStr">
        <is>
          <t>Fase 3 (Vercel + AI + EODHD + SQLite/Neon)</t>
        </is>
      </c>
      <c r="B9" s="7" t="inlineStr">
        <is>
          <t>500+ Pelanggan (M7+)</t>
        </is>
      </c>
      <c r="C9" s="22">
        <f>Model_Parameters!$E$43</f>
        <v/>
      </c>
      <c r="D9" s="22">
        <f>ROUNDUP(C9/18306, 0)</f>
        <v/>
      </c>
      <c r="E9" s="22">
        <f>ROUNDUP(C9/47724, 0)</f>
        <v/>
      </c>
      <c r="F9" s="26">
        <f>ROUNDUP(C9/27131, 0)</f>
        <v/>
      </c>
      <c r="G9" s="22" t="n">
        <v>5</v>
      </c>
      <c r="H9" s="7" t="inlineStr">
        <is>
          <t>Hemat Rp 400k/bln; butuh 38 pembeli baru/bln (sebelumnya 53)</t>
        </is>
      </c>
    </row>
    <row r="12" ht="20" customHeight="1">
      <c r="A12" s="3" t="inlineStr">
        <is>
          <t>2. ANALISIS KEHILANGAN PENDAPATAN BERULANG (LOST ARR &amp; LOST MRR) — BASE CASE MODERAT [S/A]</t>
        </is>
      </c>
      <c r="B12" s="29" t="n"/>
      <c r="C12" s="29" t="n"/>
      <c r="D12" s="29" t="n"/>
      <c r="E12" s="29" t="n"/>
      <c r="F12" s="29" t="n"/>
      <c r="G12" s="29" t="n"/>
      <c r="H12" s="30" t="n"/>
    </row>
    <row r="13" ht="25" customHeight="1">
      <c r="A13" s="21" t="inlineStr">
        <is>
          <t>Metrik Komparasi Finansial (Base Case)</t>
        </is>
      </c>
      <c r="B13" s="21" t="inlineStr">
        <is>
          <t>Model Recurring Subscription (Auto-Renew)</t>
        </is>
      </c>
      <c r="C13" s="21" t="inlineStr">
        <is>
          <t>Model One-Time Pass (Sekali Bayar)</t>
        </is>
      </c>
      <c r="D13" s="21" t="inlineStr">
        <is>
          <t>Selisih / Kehilangan Finansial (Lost Value)</t>
        </is>
      </c>
      <c r="E13" s="21" t="inlineStr">
        <is>
          <t>Persentase Penurunan (%)</t>
        </is>
      </c>
      <c r="F13" s="21" t="inlineStr">
        <is>
          <t>Implikasi Bisnis &amp; Valuasi Venture</t>
        </is>
      </c>
    </row>
    <row r="14">
      <c r="A14" s="6" t="inlineStr">
        <is>
          <t>Total Kas Masuk Bruto 12 Bulan (IDR)</t>
        </is>
      </c>
      <c r="B14" s="11" t="n">
        <v>164892560</v>
      </c>
      <c r="C14" s="8">
        <f>Skenario_Moderat_Base!N41</f>
        <v/>
      </c>
      <c r="D14" s="8">
        <f>C14-B14</f>
        <v/>
      </c>
      <c r="E14" s="20">
        <f>(C14-B14)/B14</f>
        <v/>
      </c>
      <c r="F14" s="7" t="inlineStr">
        <is>
          <t>Penurunan kas masuk bruto akibat friksi pembelian ulang manual</t>
        </is>
      </c>
    </row>
    <row r="15">
      <c r="A15" s="6" t="inlineStr">
        <is>
          <t>Biaya Payment Gateway &amp; Variabel 12M (IDR)</t>
        </is>
      </c>
      <c r="B15" s="11" t="n">
        <v>4668500</v>
      </c>
      <c r="C15" s="8">
        <f>Skenario_Moderat_Base!N46</f>
        <v/>
      </c>
      <c r="D15" s="8">
        <f>C15-B15</f>
        <v/>
      </c>
      <c r="E15" s="20">
        <f>(C15-B15)/B15</f>
        <v/>
      </c>
      <c r="F15" s="7" t="inlineStr">
        <is>
          <t>Biaya gateway berkurang proporsional terhadap volume kas</t>
        </is>
      </c>
    </row>
    <row r="16">
      <c r="A16" s="6" t="inlineStr">
        <is>
          <t>Total Beban OpEx Tetap 12M (IDR)</t>
        </is>
      </c>
      <c r="B16" s="11" t="n">
        <v>22330000</v>
      </c>
      <c r="C16" s="8">
        <f>Skenario_Moderat_Base!N55</f>
        <v/>
      </c>
      <c r="D16" s="8">
        <f>C16-B16</f>
        <v/>
      </c>
      <c r="E16" s="20">
        <f>(C16-B16)/B16</f>
        <v/>
      </c>
      <c r="F16" s="7" t="inlineStr">
        <is>
          <t>OpEx tetap identik karena infrastruktur &amp; AI squad wajib jalan</t>
        </is>
      </c>
    </row>
    <row r="17">
      <c r="A17" s="6" t="inlineStr">
        <is>
          <t>Laba Operasional Kas (EBITDA 12M - IDR)</t>
        </is>
      </c>
      <c r="B17" s="11" t="n">
        <v>137894060</v>
      </c>
      <c r="C17" s="8">
        <f>Skenario_Moderat_Base!N57</f>
        <v/>
      </c>
      <c r="D17" s="8">
        <f>C17-B17</f>
        <v/>
      </c>
      <c r="E17" s="20">
        <f>(C17-B17)/B17</f>
        <v/>
      </c>
      <c r="F17" s="7" t="inlineStr">
        <is>
          <t>EBITDA tetap sangat menguntungkan di Rp 87,7M (margin 77%)</t>
        </is>
      </c>
    </row>
    <row r="18">
      <c r="A18" s="6" t="inlineStr">
        <is>
          <t>Annualized Exit Run-Rate (ARR Bulan ke-12)</t>
        </is>
      </c>
      <c r="B18" s="11" t="n">
        <v>322050000</v>
      </c>
      <c r="C18" s="8" t="n">
        <v>0</v>
      </c>
      <c r="D18" s="27" t="n">
        <v>-322050000</v>
      </c>
      <c r="E18" s="20" t="n">
        <v>-1</v>
      </c>
      <c r="F18" s="7" t="inlineStr">
        <is>
          <t>HILANG 100%: Tidak ada pendapatan berulang yang terikat kontrak!</t>
        </is>
      </c>
    </row>
    <row r="19">
      <c r="A19" s="6" t="inlineStr">
        <is>
          <t>Monthly Recurring Revenue (MRR Bulan ke-12)</t>
        </is>
      </c>
      <c r="B19" s="11" t="n">
        <v>26837500</v>
      </c>
      <c r="C19" s="8" t="n">
        <v>0</v>
      </c>
      <c r="D19" s="27" t="n">
        <v>-26837500</v>
      </c>
      <c r="E19" s="20" t="n">
        <v>-1</v>
      </c>
      <c r="F19" s="7" t="inlineStr">
        <is>
          <t>MRR hilang; digantikan oleh penerimaan transaksional bulanan</t>
        </is>
      </c>
    </row>
    <row r="20">
      <c r="A20" s="6" t="inlineStr">
        <is>
          <t>Saldo Kas Mengendap Akhir Tahun ke-1</t>
        </is>
      </c>
      <c r="B20" s="11" t="n">
        <v>137894060</v>
      </c>
      <c r="C20" s="8">
        <f>Skenario_Moderat_Base!M62</f>
        <v/>
      </c>
      <c r="D20" s="8">
        <f>C20-B20</f>
        <v/>
      </c>
      <c r="E20" s="20">
        <f>(C20-B20)/B20</f>
        <v/>
      </c>
      <c r="F20" s="7" t="inlineStr">
        <is>
          <t>Kas cadangan akhir tetap surplus Rp 87,7M (bantal kas solid)</t>
        </is>
      </c>
    </row>
  </sheetData>
  <mergeCells count="2">
    <mergeCell ref="A12:H12"/>
    <mergeCell ref="A4:H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20" customWidth="1" min="2" max="2"/>
    <col width="25" customWidth="1" min="3" max="3"/>
    <col width="45" customWidth="1" min="4" max="4"/>
    <col width="39" customWidth="1" min="5" max="5"/>
    <col width="45" customWidth="1" min="6" max="6"/>
  </cols>
  <sheetData>
    <row r="1">
      <c r="A1" s="1" t="inlineStr">
        <is>
          <t>IHSG STORM — ANALISIS STRATEGIS MARKETING COMP ACCOUNTS &amp; BREAK-EVEN ROI</t>
        </is>
      </c>
    </row>
    <row r="2">
      <c r="A2" s="2" t="inlineStr">
        <is>
          <t>Spesifikasi 5 Akun Hibah, Forgone Revenue, Exclusion Rule Trigger VPS Fase 0 &amp; Analisis Impas Konversi (v3.1) | Oscar</t>
        </is>
      </c>
    </row>
    <row r="4" ht="20" customHeight="1">
      <c r="A4" s="3" t="inlineStr">
        <is>
          <t>1. SPESIFIKASI OPERASIONAL 5 AKUN MARKETING COMP PRO/PLUS [S]</t>
        </is>
      </c>
      <c r="B4" s="29" t="n"/>
      <c r="C4" s="29" t="n"/>
      <c r="D4" s="29" t="n"/>
      <c r="E4" s="29" t="n"/>
      <c r="F4" s="30" t="n"/>
    </row>
    <row r="5" ht="25" customHeight="1">
      <c r="A5" s="5" t="inlineStr">
        <is>
          <t>Parameter Kebijakan</t>
        </is>
      </c>
      <c r="B5" s="5" t="inlineStr">
        <is>
          <t>Rincian Aturan &amp; Batasan</t>
        </is>
      </c>
      <c r="C5" s="5" t="inlineStr">
        <is>
          <t>Keterangan Finansial &amp; Risiko</t>
        </is>
      </c>
    </row>
    <row r="6">
      <c r="A6" s="6" t="inlineStr">
        <is>
          <t>Jumlah Kuota Hibah</t>
        </is>
      </c>
      <c r="B6" s="7" t="inlineStr">
        <is>
          <t>Maksimal 5 Akun Simultan Aktif [S]</t>
        </is>
      </c>
      <c r="C6" s="7" t="inlineStr">
        <is>
          <t>Dibatasi ketat agar tidak menimbulkan beban kueri server dan dilusi brand</t>
        </is>
      </c>
    </row>
    <row r="7">
      <c r="A7" s="6" t="inlineStr">
        <is>
          <t>Target Penerima Hibah</t>
        </is>
      </c>
      <c r="B7" s="7" t="inlineStr">
        <is>
          <t>Influencer Saham (X/Stockbit &gt;5k followers), Admin Grup (&gt;1k member), Tester Awal [S]</t>
        </is>
      </c>
      <c r="C7" s="7" t="inlineStr">
        <is>
          <t>Wajib memiliki audiens ritel pasar modal aktif untuk distribusi organik</t>
        </is>
      </c>
    </row>
    <row r="8">
      <c r="A8" s="6" t="inlineStr">
        <is>
          <t>Tier Akses Diberikan</t>
        </is>
      </c>
      <c r="B8" s="7" t="inlineStr">
        <is>
          <t>Pakar / Trader (Tier Tertinggi @ Rp 49.000/bln) [S]</t>
        </is>
      </c>
      <c r="C8" s="7" t="inlineStr">
        <is>
          <t>Fitur lengkap (Bot Telegram, diff KSEI, 50 watchlist) untuk tangkapan layar review</t>
        </is>
      </c>
    </row>
    <row r="9">
      <c r="A9" s="6" t="inlineStr">
        <is>
          <t>Durasi Akses</t>
        </is>
      </c>
      <c r="B9" s="7" t="inlineStr">
        <is>
          <t>90 Hari (3 Bulan) per grant [S]</t>
        </is>
      </c>
      <c r="C9" s="7" t="inlineStr">
        <is>
          <t>Dapat diperpanjang 90 hari jika mempublikasikan minimal 2 ulasan analisis</t>
        </is>
      </c>
    </row>
    <row r="10">
      <c r="A10" s="6" t="inlineStr">
        <is>
          <t>Mekanisme Pemberian</t>
        </is>
      </c>
      <c r="B10" s="7" t="inlineStr">
        <is>
          <t>Admin Grant Langsung via CLI ihsg.admin comp grant ke tabel entitlements (Bypass Gateway) [S]</t>
        </is>
      </c>
      <c r="C10" s="7" t="inlineStr">
        <is>
          <t>Rp 0 transaksi kas; tidak menerbitkan invoice Xendit dan tanpa fee gateway</t>
        </is>
      </c>
    </row>
    <row r="11">
      <c r="A11" s="6" t="inlineStr">
        <is>
          <t>Pencegahan Penyalahgunaan (Anti-Abuse)</t>
        </is>
      </c>
      <c r="B11" s="7" t="inlineStr">
        <is>
          <t>1 akun per individu/entitas, kunci 1 sesi login aktif, batas kuota 50 CSV/bln [S]</t>
        </is>
      </c>
      <c r="C11" s="7" t="inlineStr">
        <is>
          <t>Mencegah pembagian password di grup Telegram atau scraping data massal</t>
        </is>
      </c>
    </row>
    <row r="14" ht="20" customHeight="1">
      <c r="A14" s="3" t="inlineStr">
        <is>
          <t>2. DEKOMPOSISI BIAYA KAS MARGINAL VS OPPORTUNITY COST (FORGONE REVENUE) [S/A]</t>
        </is>
      </c>
      <c r="B14" s="29" t="n"/>
      <c r="C14" s="29" t="n"/>
      <c r="D14" s="29" t="n"/>
      <c r="E14" s="29" t="n"/>
      <c r="F14" s="30" t="n"/>
    </row>
    <row r="15" ht="25" customHeight="1">
      <c r="A15" s="21" t="inlineStr">
        <is>
          <t>Komponen Biaya / Valuasi</t>
        </is>
      </c>
      <c r="B15" s="21" t="inlineStr">
        <is>
          <t>Beban per Akun / Bulan</t>
        </is>
      </c>
      <c r="C15" s="21" t="inlineStr">
        <is>
          <t>Total 5 Akun / Bulan</t>
        </is>
      </c>
      <c r="D15" s="21" t="inlineStr">
        <is>
          <t>Total 5 Akun / Tahun</t>
        </is>
      </c>
      <c r="E15" s="21" t="inlineStr">
        <is>
          <t>Sifat Biaya</t>
        </is>
      </c>
      <c r="F15" s="21" t="inlineStr">
        <is>
          <t>Evaluasi Oscar</t>
        </is>
      </c>
    </row>
    <row r="16">
      <c r="A16" s="6" t="inlineStr">
        <is>
          <t>Beban Kas Riil Marginal (Database &amp; Infra) [A]</t>
        </is>
      </c>
      <c r="B16" s="22" t="n">
        <v>2000</v>
      </c>
      <c r="C16" s="22" t="n">
        <v>10000</v>
      </c>
      <c r="D16" s="22" t="n">
        <v>120000</v>
      </c>
      <c r="E16" s="10" t="inlineStr">
        <is>
          <t>Kas Riil Keluar</t>
        </is>
      </c>
      <c r="F16" s="7" t="inlineStr">
        <is>
          <t>Beban kueri SQLite/WAL &amp; Litestream di VPS sangat kecil (~Rp 0); Telegram Bot API gratis 100%</t>
        </is>
      </c>
    </row>
    <row r="17">
      <c r="A17" s="6" t="inlineStr">
        <is>
          <t>Beban Waktu Dukungan Pelanggan (Erin) [A]</t>
        </is>
      </c>
      <c r="B17" s="22" t="n">
        <v>3000</v>
      </c>
      <c r="C17" s="22" t="n">
        <v>15000</v>
      </c>
      <c r="D17" s="22" t="n">
        <v>180000</v>
      </c>
      <c r="E17" s="10" t="inlineStr">
        <is>
          <t>Waktu Operasional</t>
        </is>
      </c>
      <c r="F17" s="7" t="inlineStr">
        <is>
          <t>Asumsi 1 tiket bantuan per bulan dari 5 influencer</t>
        </is>
      </c>
    </row>
    <row r="18">
      <c r="A18" s="6" t="inlineStr">
        <is>
          <t>Opportunity Cost (Forgone Revenue Pakar) [S]</t>
        </is>
      </c>
      <c r="B18" s="22" t="n">
        <v>49000</v>
      </c>
      <c r="C18" s="22" t="n">
        <v>245000</v>
      </c>
      <c r="D18" s="22" t="n">
        <v>2940000</v>
      </c>
      <c r="E18" s="10" t="inlineStr">
        <is>
          <t>Potensi Pendapatan Hilang</t>
        </is>
      </c>
      <c r="F18" s="7" t="inlineStr">
        <is>
          <t>Kas yang seharusnya diterima jika 5 akun tersebut membayar normal</t>
        </is>
      </c>
    </row>
    <row r="19">
      <c r="A19" s="12" t="inlineStr">
        <is>
          <t>TOTAL VALUASI BIAYA PROMOSI (Kas + Opportunity) [S/A]</t>
        </is>
      </c>
      <c r="B19" s="28" t="n">
        <v>54000</v>
      </c>
      <c r="C19" s="28" t="n">
        <v>270000</v>
      </c>
      <c r="D19" s="28" t="n">
        <v>3240000</v>
      </c>
      <c r="E19" s="13" t="inlineStr">
        <is>
          <t>Total Beban Ekonomi</t>
        </is>
      </c>
      <c r="F19" s="15" t="inlineStr">
        <is>
          <t>Total investasi pemasaran barter produk setara Rp 270.000 / bulan</t>
        </is>
      </c>
    </row>
    <row r="22" ht="20" customHeight="1">
      <c r="A22" s="3" t="inlineStr">
        <is>
          <t>3. ATURAN PENGECLIAN RIGID TRIGGER MIGRASI VPS FASE 0 (&lt;5 PAYING USERS) [S]</t>
        </is>
      </c>
      <c r="B22" s="29" t="n"/>
      <c r="C22" s="29" t="n"/>
      <c r="D22" s="29" t="n"/>
      <c r="E22" s="29" t="n"/>
      <c r="F22" s="30" t="n"/>
    </row>
    <row r="23" ht="25" customHeight="1">
      <c r="A23" s="5" t="inlineStr">
        <is>
          <t>Prinsip Audit Finansial</t>
        </is>
      </c>
      <c r="B23" s="5" t="inlineStr">
        <is>
          <t>Definisi Resmi Metrik</t>
        </is>
      </c>
      <c r="C23" s="5" t="inlineStr">
        <is>
          <t>Logika Sistem &amp; Kueri Database</t>
        </is>
      </c>
    </row>
    <row r="24">
      <c r="A24" s="6" t="inlineStr">
        <is>
          <t>Pemicu Migrasi VPS -&gt; Vercel Pro ($20)</t>
        </is>
      </c>
      <c r="B24" s="7" t="inlineStr">
        <is>
          <t>Hanya dipicu ketika jumlah pelanggan berbayar aktif (strict paying query per Jim D8) mencapai &gt;= 5 orang [S]</t>
        </is>
      </c>
      <c r="C24" s="7" t="inlineStr">
        <is>
          <t>Kueri SQL: SELECT COUNT(DISTINCT e.user_id) FROM entitlements e JOIN payments p ON p.id=e.payment_id WHERE e.source='paid' AND p.status='paid' AND p.amount_idr&gt;0 AND e.revoked_at IS NULL AND e.closed_at IS NULL AND e.starts_at&lt;=now() AND (e.ends_at IS NULL OR e.ends_at&gt;now());</t>
        </is>
      </c>
    </row>
    <row r="25">
      <c r="A25" s="6" t="inlineStr">
        <is>
          <t>Definisi 'Paying User' (Pelanggan Berbayar)</t>
        </is>
      </c>
      <c r="B25" s="7" t="inlineStr">
        <is>
          <t>Akun unik dengan riwayat pembayaran kas terverifikasi &gt; Rp 0 via payment gateway [S]</t>
        </is>
      </c>
      <c r="C25" s="7" t="inlineStr">
        <is>
          <t>Kueri SQL: COUNT(DISTINCT user_id) WHERE is_comp = FALSE AND amount_paid &gt; 0</t>
        </is>
      </c>
    </row>
    <row r="26">
      <c r="A26" s="6" t="inlineStr">
        <is>
          <t>Perlakuan 5 Akun Marketing Comp</t>
        </is>
      </c>
      <c r="B26" s="7" t="inlineStr">
        <is>
          <t>NOL (Strict Excluded). Nilai kas = Rp 0, is_comp = TRUE [S]</t>
        </is>
      </c>
      <c r="C26" s="7" t="inlineStr">
        <is>
          <t>Hasil kueri trigger: 5 akun comp menghasilkan nilai '0 paying users'</t>
        </is>
      </c>
    </row>
    <row r="27">
      <c r="A27" s="6" t="inlineStr">
        <is>
          <t>Kesimpulan Perlindungan Arus Kas</t>
        </is>
      </c>
      <c r="B27" s="7" t="inlineStr">
        <is>
          <t>Phase 0 VPS IDCloudHost (Rp 70k/bln) terlindungi 100% dari migrasi semu (&lt;5 paying users rule per Jim D8)</t>
        </is>
      </c>
      <c r="C27" s="7" t="inlineStr">
        <is>
          <t>Perusahaan tetap super-ramping sampai ada 5 pengguna riil yang mentransfer uang!</t>
        </is>
      </c>
    </row>
    <row r="30" ht="20" customHeight="1">
      <c r="A30" s="3" t="inlineStr">
        <is>
          <t>4. ANALISIS TITIK IMPAS PEMASARAN (MARKETING ROI BREAK-EVEN VIEW) [S/A]</t>
        </is>
      </c>
      <c r="B30" s="29" t="n"/>
      <c r="C30" s="29" t="n"/>
      <c r="D30" s="29" t="n"/>
      <c r="E30" s="29" t="n"/>
      <c r="F30" s="30" t="n"/>
    </row>
    <row r="31" ht="25" customHeight="1">
      <c r="A31" s="21" t="inlineStr">
        <is>
          <t>Paket / Pass yang Terjual</t>
        </is>
      </c>
      <c r="B31" s="21" t="inlineStr">
        <is>
          <t>Harga Jual [S]</t>
        </is>
      </c>
      <c r="C31" s="21" t="inlineStr">
        <is>
          <t>Kas Bersih per Transaksi (Nett) [A]</t>
        </is>
      </c>
      <c r="D31" s="21" t="inlineStr">
        <is>
          <t>Target Konversi Impas (Total 5 Akun / Bln)</t>
        </is>
      </c>
      <c r="E31" s="21" t="inlineStr">
        <is>
          <t>Target Konversi per Influencer / Bln</t>
        </is>
      </c>
      <c r="F31" s="21" t="inlineStr">
        <is>
          <t>Kelayakan &amp; Evaluasi ROI Oscar</t>
        </is>
      </c>
    </row>
    <row r="32">
      <c r="A32" s="6" t="inlineStr">
        <is>
          <t>Investor Pass 1-Bulan</t>
        </is>
      </c>
      <c r="B32" s="22" t="n">
        <v>19000</v>
      </c>
      <c r="C32" s="22" t="n">
        <v>18306</v>
      </c>
      <c r="D32" s="26">
        <f>ROUNDUP(245000/C32, 0)</f>
        <v/>
      </c>
      <c r="E32" s="22">
        <f>ROUND(D32/5, 1)</f>
        <v/>
      </c>
      <c r="F32" s="7" t="inlineStr">
        <is>
          <t>Sangat mudah: Butuh 14 pembeli Investor per bulan (~3 pembeli per influencer)</t>
        </is>
      </c>
    </row>
    <row r="33">
      <c r="A33" s="6" t="inlineStr">
        <is>
          <t>Pakar Pass 1-Bulan</t>
        </is>
      </c>
      <c r="B33" s="22" t="n">
        <v>49000</v>
      </c>
      <c r="C33" s="22" t="n">
        <v>47724</v>
      </c>
      <c r="D33" s="26">
        <f>ROUNDUP(245000/C33, 0)</f>
        <v/>
      </c>
      <c r="E33" s="22">
        <f>ROUND(D33/5, 1)</f>
        <v/>
      </c>
      <c r="F33" s="7" t="inlineStr">
        <is>
          <t>Sangat realistis: Hanya butuh 5 pembeli Pakar per bulan (1 pembeli per influencer!)</t>
        </is>
      </c>
    </row>
    <row r="34">
      <c r="A34" s="6" t="inlineStr">
        <is>
          <t>Investor Pass 12-Bulan (Tahunan)</t>
        </is>
      </c>
      <c r="B34" s="22" t="n">
        <v>190000</v>
      </c>
      <c r="C34" s="22" t="n">
        <v>185989</v>
      </c>
      <c r="D34" s="26">
        <f>ROUNDUP(245000/C34, 0)</f>
        <v/>
      </c>
      <c r="E34" s="22">
        <f>ROUND(D34/5, 1)</f>
        <v/>
      </c>
      <c r="F34" s="7" t="inlineStr">
        <is>
          <t>Hanya butuh 2 pembeli tahunan per bulan untuk menutup seluruh program comp</t>
        </is>
      </c>
    </row>
    <row r="35">
      <c r="A35" s="6" t="inlineStr">
        <is>
          <t>Pakar Pass 12-Bulan (Tahunan)</t>
        </is>
      </c>
      <c r="B35" s="22" t="n">
        <v>490000</v>
      </c>
      <c r="C35" s="22" t="n">
        <v>480169</v>
      </c>
      <c r="D35" s="26">
        <f>ROUNDUP(245000/C35, 0)</f>
        <v/>
      </c>
      <c r="E35" s="22">
        <f>ROUND(D35/5, 1)</f>
        <v/>
      </c>
      <c r="F35" s="7" t="inlineStr">
        <is>
          <t>ASIMETRIS SUPER TINGGI: 1 pembeli tahunan menutup biaya 5 influencer selama 2 BULAN!</t>
        </is>
      </c>
    </row>
  </sheetData>
  <mergeCells count="4">
    <mergeCell ref="A14:F14"/>
    <mergeCell ref="A22:F22"/>
    <mergeCell ref="A30:F30"/>
    <mergeCell ref="A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75" customWidth="1" min="2" max="2"/>
    <col width="78" customWidth="1" min="3" max="3"/>
    <col width="81" customWidth="1" min="4" max="4"/>
    <col width="66" customWidth="1" min="5" max="5"/>
    <col width="45" customWidth="1" min="6" max="6"/>
    <col width="12" customWidth="1" min="7" max="7"/>
  </cols>
  <sheetData>
    <row r="1">
      <c r="A1" s="1" t="inlineStr">
        <is>
          <t>IHSG STORM — MATRIKS PERBANDINGAN STRATEGIS EMPAT SKENARIO V3</t>
        </is>
      </c>
    </row>
    <row r="2">
      <c r="A2" s="2" t="inlineStr">
        <is>
          <t>Benchmark Kinerja 12 Bulan, Sensitivitas Biaya AI Agent Squad &amp; Implikasi Operasional (v3.1) | Oscar</t>
        </is>
      </c>
    </row>
    <row r="4" ht="20" customHeight="1">
      <c r="A4" s="3" t="inlineStr">
        <is>
          <t>1. MATRIKS BENCHMARK TAHUNAN EMPAT SKENARIO ONE-TIME PASS [S/A]</t>
        </is>
      </c>
      <c r="B4" s="29" t="n"/>
      <c r="C4" s="29" t="n"/>
      <c r="D4" s="29" t="n"/>
      <c r="E4" s="29" t="n"/>
      <c r="F4" s="29" t="n"/>
      <c r="G4" s="30" t="n"/>
    </row>
    <row r="5" ht="25" customHeight="1">
      <c r="A5" s="21" t="inlineStr">
        <is>
          <t>Dimensi Evaluasi 12 Bulan</t>
        </is>
      </c>
      <c r="B5" s="21" t="inlineStr">
        <is>
          <t>Skenario 1: Pesimis</t>
        </is>
      </c>
      <c r="C5" s="21" t="inlineStr">
        <is>
          <t>Skenario 2: Konservatif</t>
        </is>
      </c>
      <c r="D5" s="21" t="inlineStr">
        <is>
          <t>Skenario 3: Moderat (Base)</t>
        </is>
      </c>
      <c r="E5" s="21" t="inlineStr">
        <is>
          <t>Skenario 4: Optimis</t>
        </is>
      </c>
      <c r="F5" s="21" t="inlineStr">
        <is>
          <t>Evaluasi &amp; Panduan Strategis Oscar</t>
        </is>
      </c>
    </row>
    <row r="6">
      <c r="A6" s="7" t="inlineStr">
        <is>
          <t>Trafik Puncak M12 (Pengunjung) [A]</t>
        </is>
      </c>
      <c r="B6" s="11">
        <f>Skenario_Cold_Start!M6</f>
        <v/>
      </c>
      <c r="C6" s="11">
        <f>Skenario_Konservatif!M6</f>
        <v/>
      </c>
      <c r="D6" s="11">
        <f>Skenario_Moderat_Base!M6</f>
        <v/>
      </c>
      <c r="E6" s="11">
        <f>Skenario_Optimis!M6</f>
        <v/>
      </c>
      <c r="F6" s="7" t="inlineStr">
        <is>
          <t>Pesimis mencerminkan kegagalan viralitas; Base menjangkau 0,5% SID saham</t>
        </is>
      </c>
    </row>
    <row r="7">
      <c r="A7" s="7" t="inlineStr">
        <is>
          <t>Akumulasi Akun Gratis Terdaftar (M12) [A]</t>
        </is>
      </c>
      <c r="B7" s="11">
        <f>Skenario_Cold_Start!N8</f>
        <v/>
      </c>
      <c r="C7" s="11">
        <f>Skenario_Konservatif!N8</f>
        <v/>
      </c>
      <c r="D7" s="11">
        <f>Skenario_Moderat_Base!N8</f>
        <v/>
      </c>
      <c r="E7" s="11">
        <f>Skenario_Optimis!N8</f>
        <v/>
      </c>
      <c r="F7" s="7" t="inlineStr">
        <is>
          <t>Aset database leads untuk ekspansi ekosistem badai.tech</t>
        </is>
      </c>
    </row>
    <row r="8">
      <c r="A8" s="7" t="inlineStr">
        <is>
          <t>Pengguna Aktif Berbayar Kas (M12) [A]</t>
        </is>
      </c>
      <c r="B8" s="11">
        <f>Skenario_Cold_Start!M31</f>
        <v/>
      </c>
      <c r="C8" s="11">
        <f>Skenario_Konservatif!M31</f>
        <v/>
      </c>
      <c r="D8" s="11">
        <f>Skenario_Moderat_Base!M31</f>
        <v/>
      </c>
      <c r="E8" s="11">
        <f>Skenario_Optimis!M31</f>
        <v/>
      </c>
      <c r="F8" s="7" t="inlineStr">
        <is>
          <t>Base Case 491 pengguna aktif membuktikan viabilitas retail One-Time</t>
        </is>
      </c>
    </row>
    <row r="9">
      <c r="A9" s="7" t="inlineStr">
        <is>
          <t>Akun Promosi Pemasaran (Comp) M12 [S]</t>
        </is>
      </c>
      <c r="B9" s="11" t="n">
        <v>5</v>
      </c>
      <c r="C9" s="11" t="n">
        <v>5</v>
      </c>
      <c r="D9" s="11" t="n">
        <v>5</v>
      </c>
      <c r="E9" s="11" t="n">
        <v>5</v>
      </c>
      <c r="F9" s="7" t="inlineStr">
        <is>
          <t>5 akun Pakar gratis (Strictly exclude dari paying trigger)</t>
        </is>
      </c>
    </row>
    <row r="10">
      <c r="A10" s="7" t="inlineStr">
        <is>
          <t>Total Kas Masuk Bruto (12M) [A]</t>
        </is>
      </c>
      <c r="B10" s="11">
        <f>Skenario_Cold_Start!N41</f>
        <v/>
      </c>
      <c r="C10" s="11">
        <f>Skenario_Konservatif!N41</f>
        <v/>
      </c>
      <c r="D10" s="11">
        <f>Skenario_Moderat_Base!N41</f>
        <v/>
      </c>
      <c r="E10" s="11">
        <f>Skenario_Optimis!N41</f>
        <v/>
      </c>
      <c r="F10" s="7" t="inlineStr">
        <is>
          <t>Total kas yang ditarik ke rekening perusahaan</t>
        </is>
      </c>
    </row>
    <row r="11">
      <c r="A11" s="7" t="inlineStr">
        <is>
          <t>Biaya Payment Gateway &amp; Refund (12M) [S/A]</t>
        </is>
      </c>
      <c r="B11" s="11">
        <f>Skenario_Cold_Start!N46</f>
        <v/>
      </c>
      <c r="C11" s="11">
        <f>Skenario_Konservatif!N46</f>
        <v/>
      </c>
      <c r="D11" s="11">
        <f>Skenario_Moderat_Base!N46</f>
        <v/>
      </c>
      <c r="E11" s="11">
        <f>Skenario_Optimis!N46</f>
        <v/>
      </c>
      <c r="F11" s="7" t="inlineStr">
        <is>
          <t>Terkendali pada ~2,8% bruto (MDR QRIS + refund 1% + settlement)</t>
        </is>
      </c>
    </row>
    <row r="12">
      <c r="A12" s="7" t="inlineStr">
        <is>
          <t>Beban Operasional Infra Tetap (12M) [S]</t>
        </is>
      </c>
      <c r="B12" s="11">
        <f>Skenario_Cold_Start!N49+Skenario_Cold_Start!N51+Skenario_Cold_Start!N52</f>
        <v/>
      </c>
      <c r="C12" s="11">
        <f>Skenario_Konservatif!N49+Skenario_Konservatif!N51+Skenario_Konservatif!N52</f>
        <v/>
      </c>
      <c r="D12" s="11">
        <f>Skenario_Moderat_Base!N49+Skenario_Moderat_Base!N51+Skenario_Moderat_Base!N52</f>
        <v/>
      </c>
      <c r="E12" s="11">
        <f>Skenario_Optimis!N49+Skenario_Optimis!N51+Skenario_Optimis!N52</f>
        <v/>
      </c>
      <c r="F12" s="7" t="inlineStr">
        <is>
          <t>Phase 0 VPS saat subs &lt; 5 + Vercel Pro + Feed (Supabase didrop per Jim D3)</t>
        </is>
      </c>
    </row>
    <row r="13">
      <c r="A13" s="7" t="inlineStr">
        <is>
          <t>Biaya Operasional AI Agent Squad (12M) [S]</t>
        </is>
      </c>
      <c r="B13" s="11">
        <f>Skenario_Cold_Start!N50</f>
        <v/>
      </c>
      <c r="C13" s="11">
        <f>Skenario_Konservatif!N50</f>
        <v/>
      </c>
      <c r="D13" s="11">
        <f>Skenario_Moderat_Base!N50</f>
        <v/>
      </c>
      <c r="E13" s="11">
        <f>Skenario_Optimis!N50</f>
        <v/>
      </c>
      <c r="F13" s="7" t="inlineStr">
        <is>
          <t>Shared Claude subscription gateway (USD 20/bln @ Rp 16k = Rp 3,84 Juta/thn)</t>
        </is>
      </c>
    </row>
    <row r="14">
      <c r="A14" s="7" t="inlineStr">
        <is>
          <t>Alokasi Anggaran Pemasaran (12M) [A]</t>
        </is>
      </c>
      <c r="B14" s="11">
        <f>Skenario_Cold_Start!N53</f>
        <v/>
      </c>
      <c r="C14" s="11">
        <f>Skenario_Konservatif!N53</f>
        <v/>
      </c>
      <c r="D14" s="11">
        <f>Skenario_Moderat_Base!N53</f>
        <v/>
      </c>
      <c r="E14" s="11">
        <f>Skenario_Optimis!N53</f>
        <v/>
      </c>
      <c r="F14" s="7" t="inlineStr">
        <is>
          <t>Alokasi marketing riil untuk menggerakkan corong akuisisi</t>
        </is>
      </c>
    </row>
    <row r="15">
      <c r="A15" s="7" t="inlineStr">
        <is>
          <t>TOTAL OPEX TETAP (12M) [A]</t>
        </is>
      </c>
      <c r="B15" s="11">
        <f>Skenario_Cold_Start!N55</f>
        <v/>
      </c>
      <c r="C15" s="11">
        <f>Skenario_Konservatif!N55</f>
        <v/>
      </c>
      <c r="D15" s="11">
        <f>Skenario_Moderat_Base!N55</f>
        <v/>
      </c>
      <c r="E15" s="11">
        <f>Skenario_Optimis!N55</f>
        <v/>
      </c>
      <c r="F15" s="7" t="inlineStr">
        <is>
          <t>Beban operasional tetap lengkap tahun ke-1</t>
        </is>
      </c>
    </row>
    <row r="16">
      <c r="A16" s="12" t="inlineStr">
        <is>
          <t>LABA OPERASIONAL KAS (EBITDA 12M) [A]</t>
        </is>
      </c>
      <c r="B16" s="14">
        <f>Skenario_Cold_Start!N57</f>
        <v/>
      </c>
      <c r="C16" s="14">
        <f>Skenario_Konservatif!N57</f>
        <v/>
      </c>
      <c r="D16" s="14">
        <f>Skenario_Moderat_Base!N57</f>
        <v/>
      </c>
      <c r="E16" s="14">
        <f>Skenario_Optimis!N57</f>
        <v/>
      </c>
      <c r="F16" s="15" t="inlineStr">
        <is>
          <t>Base Case membukukan EBITDA Kas Rp 87,7 Juta</t>
        </is>
      </c>
    </row>
    <row r="17">
      <c r="A17" s="7" t="inlineStr">
        <is>
          <t>Margin Laba Kas EBITDA (%) [A]</t>
        </is>
      </c>
      <c r="B17" s="9">
        <f>Skenario_Cold_Start!N58</f>
        <v/>
      </c>
      <c r="C17" s="9">
        <f>Skenario_Konservatif!N58</f>
        <v/>
      </c>
      <c r="D17" s="9">
        <f>Skenario_Moderat_Base!N58</f>
        <v/>
      </c>
      <c r="E17" s="9">
        <f>Skenario_Optimis!N58</f>
        <v/>
      </c>
      <c r="F17" s="7" t="inlineStr">
        <is>
          <t>Margin realistis 77,4% pada model One-Time Pass</t>
        </is>
      </c>
    </row>
    <row r="18">
      <c r="A18" s="7" t="inlineStr">
        <is>
          <t>Estimasi Pajak PPh Final PP 55/2022 [S]</t>
        </is>
      </c>
      <c r="B18" s="11">
        <f>Skenario_Cold_Start!N59</f>
        <v/>
      </c>
      <c r="C18" s="11">
        <f>Skenario_Konservatif!N59</f>
        <v/>
      </c>
      <c r="D18" s="11">
        <f>Skenario_Moderat_Base!N59</f>
        <v/>
      </c>
      <c r="E18" s="11">
        <f>Skenario_Optimis!N59</f>
        <v/>
      </c>
      <c r="F18" s="7" t="inlineStr">
        <is>
          <t>Kewajiban pajak UMKM: Default WPOP bebas s.d. Rp 500M</t>
        </is>
      </c>
    </row>
    <row r="19">
      <c r="A19" s="12" t="inlineStr">
        <is>
          <t>LABA BERSIH KAS SETELAH PAJAK [A]</t>
        </is>
      </c>
      <c r="B19" s="14">
        <f>Skenario_Cold_Start!N60</f>
        <v/>
      </c>
      <c r="C19" s="14">
        <f>Skenario_Konservatif!N60</f>
        <v/>
      </c>
      <c r="D19" s="14">
        <f>Skenario_Moderat_Base!N60</f>
        <v/>
      </c>
      <c r="E19" s="14">
        <f>Skenario_Optimis!N60</f>
        <v/>
      </c>
      <c r="F19" s="15" t="inlineStr">
        <is>
          <t>Kas bersih operasional entitas (tanpa distorsi waktu founder)</t>
        </is>
      </c>
    </row>
    <row r="20">
      <c r="A20" s="7" t="inlineStr">
        <is>
          <t>Bulan Break-Even Operasional (EBITDA &gt; 0)</t>
        </is>
      </c>
      <c r="B20" s="11" t="inlineStr">
        <is>
          <t>Tidak Pernah (Defisit)</t>
        </is>
      </c>
      <c r="C20" s="11" t="inlineStr">
        <is>
          <t>Bulan ke-4</t>
        </is>
      </c>
      <c r="D20" s="11" t="inlineStr">
        <is>
          <t>Bulan ke-2</t>
        </is>
      </c>
      <c r="E20" s="11" t="inlineStr">
        <is>
          <t>Bulan ke-1</t>
        </is>
      </c>
      <c r="F20" s="7" t="inlineStr">
        <is>
          <t>Bulan pertama arus kas bulanan melampaui seluruh beban</t>
        </is>
      </c>
    </row>
    <row r="21">
      <c r="A21" s="7" t="inlineStr">
        <is>
          <t>Bulan Break-Even Kas Akumulatif</t>
        </is>
      </c>
      <c r="B21" s="11" t="inlineStr">
        <is>
          <t>Tidak Pernah (Defisit)</t>
        </is>
      </c>
      <c r="C21" s="11" t="inlineStr">
        <is>
          <t>Bulan ke-6</t>
        </is>
      </c>
      <c r="D21" s="11" t="inlineStr">
        <is>
          <t>Bulan ke-2</t>
        </is>
      </c>
      <c r="E21" s="11" t="inlineStr">
        <is>
          <t>Bulan ke-1</t>
        </is>
      </c>
      <c r="F21" s="7" t="inlineStr">
        <is>
          <t>Bulan pertama di mana modal awal terlindungi sepenuhnya</t>
        </is>
      </c>
    </row>
    <row r="22">
      <c r="A22" s="12" t="inlineStr">
        <is>
          <t>SALDO KAS MENGENDAP AKHIR TAHUN [A]</t>
        </is>
      </c>
      <c r="B22" s="14">
        <f>Skenario_Cold_Start!M62</f>
        <v/>
      </c>
      <c r="C22" s="14">
        <f>Skenario_Konservatif!M62</f>
        <v/>
      </c>
      <c r="D22" s="14">
        <f>Skenario_Moderat_Base!M62</f>
        <v/>
      </c>
      <c r="E22" s="14">
        <f>Skenario_Optimis!M62</f>
        <v/>
      </c>
      <c r="F22" s="15" t="inlineStr">
        <is>
          <t>Kas cair mengendap di bank pada akhir Bulan ke-12</t>
        </is>
      </c>
    </row>
    <row r="25" ht="20" customHeight="1">
      <c r="A25" s="3" t="inlineStr">
        <is>
          <t>2. SENSITIVITAS BIAYA OPERASIONAL AI AGENT SQUAD TERHADAP PROFITABILITAS BASE CASE</t>
        </is>
      </c>
      <c r="B25" s="29" t="n"/>
      <c r="C25" s="29" t="n"/>
      <c r="D25" s="29" t="n"/>
      <c r="E25" s="29" t="n"/>
      <c r="F25" s="30" t="n"/>
    </row>
    <row r="26" ht="25" customHeight="1">
      <c r="A26" s="21" t="inlineStr">
        <is>
          <t>Biaya AI Squad Bulanan</t>
        </is>
      </c>
      <c r="B26" s="21" t="inlineStr">
        <is>
          <t>Biaya Setahun [S/A]</t>
        </is>
      </c>
      <c r="C26" s="21" t="inlineStr">
        <is>
          <t>Base EBITDA Kas 12M [A]</t>
        </is>
      </c>
      <c r="D26" s="21" t="inlineStr">
        <is>
          <t>Base Margin EBITDA (%) [A]</t>
        </is>
      </c>
      <c r="E26" s="21" t="inlineStr">
        <is>
          <t>Break-Even Kas [A]</t>
        </is>
      </c>
      <c r="F26" s="21" t="inlineStr">
        <is>
          <t>Evaluasi Kelayakan Strategis</t>
        </is>
      </c>
    </row>
    <row r="27">
      <c r="A27" s="6" t="inlineStr">
        <is>
          <t>Rp 0 / bulan ($0)</t>
        </is>
      </c>
      <c r="B27" s="22" t="n">
        <v>0</v>
      </c>
      <c r="C27" s="22">
        <f>Skenario_Moderat_Base!N57+3840000</f>
        <v/>
      </c>
      <c r="D27" s="23">
        <f>C27/Skenario_Moderat_Base!N41</f>
        <v/>
      </c>
      <c r="E27" s="7" t="inlineStr">
        <is>
          <t>Bulan ke-2</t>
        </is>
      </c>
      <c r="F27" s="7" t="inlineStr">
        <is>
          <t>Kondisi teoritis tanpa biaya komputasi AI</t>
        </is>
      </c>
    </row>
    <row r="28">
      <c r="A28" s="6" t="inlineStr">
        <is>
          <t>Rp 320.000 / bulan ($20) [Base]</t>
        </is>
      </c>
      <c r="B28" s="22" t="n">
        <v>3840000</v>
      </c>
      <c r="C28" s="22">
        <f>Skenario_Moderat_Base!N57</f>
        <v/>
      </c>
      <c r="D28" s="23">
        <f>C28/Skenario_Moderat_Base!N41</f>
        <v/>
      </c>
      <c r="E28" s="7" t="inlineStr">
        <is>
          <t>Bulan ke-2</t>
        </is>
      </c>
      <c r="F28" s="7" t="inlineStr">
        <is>
          <t>Kondisi Riil Terkonfirmasi Bobby: Shared Claude via Gateway</t>
        </is>
      </c>
    </row>
    <row r="29">
      <c r="A29" s="6" t="inlineStr">
        <is>
          <t>Rp 640.000 / bulan ($40) [2x Lipat]</t>
        </is>
      </c>
      <c r="B29" s="22" t="n">
        <v>7680000</v>
      </c>
      <c r="C29" s="22">
        <f>Skenario_Moderat_Base!N57-3840000</f>
        <v/>
      </c>
      <c r="D29" s="23">
        <f>C29/Skenario_Moderat_Base!N41</f>
        <v/>
      </c>
      <c r="E29" s="7" t="inlineStr">
        <is>
          <t>Bulan ke-3</t>
        </is>
      </c>
      <c r="F29" s="7" t="inlineStr">
        <is>
          <t>What-if: Kuota pemakaian Claude berlipat ganda</t>
        </is>
      </c>
    </row>
    <row r="30">
      <c r="A30" s="6" t="inlineStr">
        <is>
          <t>Rp 1.500.000 / bulan (~$94)</t>
        </is>
      </c>
      <c r="B30" s="22" t="n">
        <v>18000000</v>
      </c>
      <c r="C30" s="22">
        <f>Skenario_Moderat_Base!N57-14160000</f>
        <v/>
      </c>
      <c r="D30" s="23">
        <f>C30/Skenario_Moderat_Base!N41</f>
        <v/>
      </c>
      <c r="E30" s="7" t="inlineStr">
        <is>
          <t>Bulan ke-4</t>
        </is>
      </c>
      <c r="F30" s="7" t="inlineStr">
        <is>
          <t>What-if: Multi-seat agen atau model dedicated API</t>
        </is>
      </c>
    </row>
    <row r="31">
      <c r="A31" s="6" t="inlineStr">
        <is>
          <t>Rp 3.000.000 / bulan (~$188)</t>
        </is>
      </c>
      <c r="B31" s="22" t="n">
        <v>36000000</v>
      </c>
      <c r="C31" s="22">
        <f>Skenario_Moderat_Base!N57-32160000</f>
        <v/>
      </c>
      <c r="D31" s="23">
        <f>C31/Skenario_Moderat_Base!N41</f>
        <v/>
      </c>
      <c r="E31" s="7" t="inlineStr">
        <is>
          <t>Bulan ke-5</t>
        </is>
      </c>
      <c r="F31" s="7" t="inlineStr">
        <is>
          <t>What-if: Workload autonomous agent intensif skala besar</t>
        </is>
      </c>
    </row>
    <row r="32">
      <c r="A32" s="6" t="inlineStr">
        <is>
          <t>Rp 5.000.000 / bulan (~$312)</t>
        </is>
      </c>
      <c r="B32" s="22" t="n">
        <v>60000000</v>
      </c>
      <c r="C32" s="22">
        <f>Skenario_Moderat_Base!N57-56160000</f>
        <v/>
      </c>
      <c r="D32" s="23">
        <f>C32/Skenario_Moderat_Base!N41</f>
        <v/>
      </c>
      <c r="E32" s="7" t="inlineStr">
        <is>
          <t>Bulan ke-7</t>
        </is>
      </c>
      <c r="F32" s="7" t="inlineStr">
        <is>
          <t>Batas atas toleransi biaya agen tanpa menghabiskan cadangan kas</t>
        </is>
      </c>
    </row>
  </sheetData>
  <mergeCells count="2">
    <mergeCell ref="A25:F2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2026-10-08T12:16:56Z</dcterms:created>
  <dcterms:modified xmlns:dcterms="http://purl.org/dc/terms/" xmlns:xsi="http://www.w3.org/2001/XMLSchema-instance" xsi:type="dcterms:W3CDTF">2026-10-09T00:20:03Z</dcterms:modified>
</cp:coreProperties>
</file>